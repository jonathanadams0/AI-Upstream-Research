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Revenue" sheetId="3" state="visible" r:id="rId5"/>
    <sheet name="P&amp;L" sheetId="4" state="visible" r:id="rId6"/>
    <sheet name="FCF" sheetId="5" state="visible" r:id="rId7"/>
    <sheet name="DCF" sheetId="6" state="visible" r:id="rId8"/>
    <sheet name="Historicals" sheetId="7" state="visible" r:id="rId9"/>
    <sheet name="Sensitivity" sheetId="8" state="visible" r:id="rId10"/>
    <sheet name="Scenarios" sheetId="9" state="visible" r:id="rId11"/>
    <sheet name="Comp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<sst xmlns="http://schemas.openxmlformats.org/spreadsheetml/2006/main" count="524" uniqueCount="426">
  <si>
    <t xml:space="preserve">GE VERNOVA INC. (NYSE: GEV)</t>
  </si>
  <si>
    <t xml:space="preserve">Discounted Cash Flow Valuation Model</t>
  </si>
  <si>
    <t xml:space="preserve">Analyst:</t>
  </si>
  <si>
    <t xml:space="preserve">Jonathan</t>
  </si>
  <si>
    <t xml:space="preserve">Date:</t>
  </si>
  <si>
    <t xml:space="preserve">April 14, 2026</t>
  </si>
  <si>
    <t xml:space="preserve">Model version:</t>
  </si>
  <si>
    <t xml:space="preserve">v1.0 skeleton</t>
  </si>
  <si>
    <t xml:space="preserve">MODEL STRUCTURE</t>
  </si>
  <si>
    <t xml:space="preserve">Tab</t>
  </si>
  <si>
    <t xml:space="preserve">Description</t>
  </si>
  <si>
    <t xml:space="preserve">Cover</t>
  </si>
  <si>
    <t xml:space="preserve">This sheet — summary, sources, color conventions</t>
  </si>
  <si>
    <t xml:space="preserve">Assumptions</t>
  </si>
  <si>
    <t xml:space="preserve">All forecast assumptions (revenue growth, margins, WACC). BLUE cells are inputs.</t>
  </si>
  <si>
    <t xml:space="preserve">Revenue</t>
  </si>
  <si>
    <t xml:space="preserve">Segment &amp; sub-segment revenue build</t>
  </si>
  <si>
    <t xml:space="preserve">P&amp;L</t>
  </si>
  <si>
    <t xml:space="preserve">Income statement forecast, bridges to Adj EBITDA</t>
  </si>
  <si>
    <t xml:space="preserve">FCF</t>
  </si>
  <si>
    <t xml:space="preserve">Free cash flow build (EBITDA → unlevered FCF)</t>
  </si>
  <si>
    <t xml:space="preserve">DCF</t>
  </si>
  <si>
    <t xml:space="preserve">Discounting, terminal value, equity bridge, per-share valuation</t>
  </si>
  <si>
    <t xml:space="preserve">Sensitivity</t>
  </si>
  <si>
    <t xml:space="preserve">WACC vs terminal growth; WACC vs exit multiple</t>
  </si>
  <si>
    <t xml:space="preserve">Historicals</t>
  </si>
  <si>
    <t xml:space="preserve">Clean historical pull from 10-K (source of truth for baseline)</t>
  </si>
  <si>
    <t xml:space="preserve">COLOR CONVENTIONS</t>
  </si>
  <si>
    <t xml:space="preserve">Blue</t>
  </si>
  <si>
    <t xml:space="preserve">Hardcoded inputs / assumptions you can change</t>
  </si>
  <si>
    <t xml:space="preserve">Black</t>
  </si>
  <si>
    <t xml:space="preserve">Formulas and calculations</t>
  </si>
  <si>
    <t xml:space="preserve">Green</t>
  </si>
  <si>
    <t xml:space="preserve">Links from other sheets</t>
  </si>
  <si>
    <t xml:space="preserve">Yellow fill</t>
  </si>
  <si>
    <t xml:space="preserve">Key assumptions requiring attention</t>
  </si>
  <si>
    <t xml:space="preserve">KEY SOURCES</t>
  </si>
  <si>
    <t xml:space="preserve">GEV 2025 10-K</t>
  </si>
  <si>
    <t xml:space="preserve">https://www.sec.gov/Archives/edgar/data/0001996810/000199681026000015/gev-20251231.htm</t>
  </si>
  <si>
    <t xml:space="preserve">GEV Q4 2025 Press Release (8-K)</t>
  </si>
  <si>
    <t xml:space="preserve">https://www.sec.gov/Archives/edgar/data/0001996810/000199681026000012/gevpressrelease4q25.htm</t>
  </si>
  <si>
    <t xml:space="preserve">GEV Investor Relations</t>
  </si>
  <si>
    <t xml:space="preserve">https://www.gevernova.com/investors</t>
  </si>
  <si>
    <t xml:space="preserve">HEALTH WARNINGS</t>
  </si>
  <si>
    <t xml:space="preserve">1. 2025 reported net income ($4,879M) includes a $2.9B one-time tax valuation allowance release. Use normalized ~25-28% tax rate for forecasting.</t>
  </si>
  <si>
    <t xml:space="preserve">2. GEV has near-zero debt. WACC ≈ Ke. Post-Prolec (~$2.65B debt), D/(D+E) still &lt; 2%.</t>
  </si>
  <si>
    <t xml:space="preserve">3. Pension non-operating income of ~$459M/year flows below operating line but is real. Do not exclude from net income.</t>
  </si>
  <si>
    <t xml:space="preserve">4. Wind segment has $3.3B goodwill with only 27% cushion. Offshore wind pause (Dec 22, 2025) is a real impairment risk.</t>
  </si>
  <si>
    <t xml:space="preserve">5. Prolec acquisition closes Feb 2026 for $5.3B. Model should reflect full-year 2026 contribution.</t>
  </si>
  <si>
    <t xml:space="preserve">KEY ASSUMPTIONS</t>
  </si>
  <si>
    <t xml:space="preserve">All inputs in BLUE. Edit these cells to change the model.</t>
  </si>
  <si>
    <t xml:space="preserve">Year</t>
  </si>
  <si>
    <t xml:space="preserve">2023A</t>
  </si>
  <si>
    <t xml:space="preserve">2024A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</si>
  <si>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</si>
  <si>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</si>
  <si>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</si>
  <si>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</si>
  <si>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</si>
  <si>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</si>
  <si>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REVENUE GROWTH ASSUMPTIONS (YoY)</t>
  </si>
  <si>
    <t xml:space="preserve">Gas Power</t>
  </si>
  <si>
    <t xml:space="preserve">Nuclear Power</t>
  </si>
  <si>
    <t xml:space="preserve">Hydro Power</t>
  </si>
  <si>
    <t xml:space="preserve">Steam Power</t>
  </si>
  <si>
    <t xml:space="preserve">Onshore Wind</t>
  </si>
  <si>
    <t xml:space="preserve">Offshore Wind</t>
  </si>
  <si>
    <t xml:space="preserve">LM Wind Power</t>
  </si>
  <si>
    <t xml:space="preserve">Grid Solutions</t>
  </si>
  <si>
    <t xml:space="preserve">Power Conversion &amp; Storage</t>
  </si>
  <si>
    <t xml:space="preserve">Electrification Software</t>
  </si>
  <si>
    <t xml:space="preserve">SEGMENT EBITDA MARGIN ASSUMPTIONS</t>
  </si>
  <si>
    <t xml:space="preserve">Power EBITDA margin</t>
  </si>
  <si>
    <t xml:space="preserve">Wind EBITDA margin</t>
  </si>
  <si>
    <t xml:space="preserve">Electrification EBITDA margin</t>
  </si>
  <si>
    <t xml:space="preserve">Corporate &amp; other ($M, negative)</t>
  </si>
  <si>
    <t xml:space="preserve">OTHER P&amp;L ASSUMPTIONS</t>
  </si>
  <si>
    <t xml:space="preserve">D&amp;A as % of revenue</t>
  </si>
  <si>
    <t xml:space="preserve">Stock-based comp ($M)</t>
  </si>
  <si>
    <t xml:space="preserve">Pension / postretirement income ($M)</t>
  </si>
  <si>
    <t xml:space="preserve">Effective tax rate (normalized)</t>
  </si>
  <si>
    <t xml:space="preserve">Restructuring &amp; other ($M)</t>
  </si>
  <si>
    <t xml:space="preserve">CAPEX &amp; WORKING CAPITAL ASSUMPTIONS</t>
  </si>
  <si>
    <t xml:space="preserve">CapEx as % of revenue</t>
  </si>
  <si>
    <t xml:space="preserve">Change in NWC as % of revenue change</t>
  </si>
  <si>
    <t xml:space="preserve">WACC &amp; VALUATION ASSUMPTIONS</t>
  </si>
  <si>
    <t xml:space="preserve">Risk-free rate (10Y UST)</t>
  </si>
  <si>
    <t xml:space="preserve">Source: FRED DGS10, avg last 30 days</t>
  </si>
  <si>
    <t xml:space="preserve">Equity risk premium</t>
  </si>
  <si>
    <t xml:space="preserve">Source: Damodaran implied ERP, trailing avg</t>
  </si>
  <si>
    <t xml:space="preserve">Beta (2Y weekly vs S&amp;P 500)</t>
  </si>
  <si>
    <t xml:space="preserve">Source: Bloomberg BETA function</t>
  </si>
  <si>
    <t xml:space="preserve">Cost of equity (CAPM)</t>
  </si>
  <si>
    <t xml:space="preserve">Formula: Rf + Beta × ERP</t>
  </si>
  <si>
    <t xml:space="preserve">Pre-tax cost of debt</t>
  </si>
  <si>
    <t xml:space="preserve">Post-Prolec; BBB/BBB+ rated</t>
  </si>
  <si>
    <t xml:space="preserve">Tax rate (for after-tax Kd)</t>
  </si>
  <si>
    <t xml:space="preserve">After-tax cost of debt</t>
  </si>
  <si>
    <t xml:space="preserve">Formula: Kd × (1 - t)</t>
  </si>
  <si>
    <t xml:space="preserve">Target debt weight</t>
  </si>
  <si>
    <t xml:space="preserve">Post-Prolec; near-zero debt structure</t>
  </si>
  <si>
    <t xml:space="preserve">Target equity weight</t>
  </si>
  <si>
    <t xml:space="preserve">Formula: 1 - debt weight</t>
  </si>
  <si>
    <t xml:space="preserve">WACC</t>
  </si>
  <si>
    <t xml:space="preserve">Formula: Ke × We + Kd × (1-t) × Wd</t>
  </si>
  <si>
    <t xml:space="preserve">Terminal growth rate (g)</t>
  </si>
  <si>
    <t xml:space="preserve">Long-run nominal GDP proxy</t>
  </si>
  <si>
    <t xml:space="preserve">Exit EV/EBITDA multiple</t>
  </si>
  <si>
    <t xml:space="preserve">For sanity check vs Gordon growth</t>
  </si>
  <si>
    <t xml:space="preserve">REVENUE BUILD — SEGMENT &amp; SUB-SEGMENT</t>
  </si>
  <si>
    <t xml:space="preserve">Historicals pulled from Historicals tab. Forecasts driven by growth rates on Assumptions tab.</t>
  </si>
  <si>
    <t xml:space="preserve">SUB-SEGMENT REVENUE ($M)</t>
  </si>
  <si>
    <t xml:space="preserve">Power segment total</t>
  </si>
  <si>
    <t xml:space="preserve">Wind segment total</t>
  </si>
  <si>
    <t xml:space="preserve">Electrification segment total</t>
  </si>
  <si>
    <t xml:space="preserve">Eliminations &amp; other</t>
  </si>
  <si>
    <t xml:space="preserve">TOTAL REVENUE</t>
  </si>
  <si>
    <t xml:space="preserve">YoY growth %</t>
  </si>
  <si>
    <t xml:space="preserve">P&amp;L / EBITDA BUILD</t>
  </si>
  <si>
    <t xml:space="preserve">Segment EBITDA margins from Assumptions. Bridges to Adj EBITDA and to Net Income.</t>
  </si>
  <si>
    <t xml:space="preserve">REVENUE (from Revenue tab)</t>
  </si>
  <si>
    <t xml:space="preserve">Power revenue</t>
  </si>
  <si>
    <t xml:space="preserve">Wind revenue</t>
  </si>
  <si>
    <t xml:space="preserve">Electrification revenue</t>
  </si>
  <si>
    <t xml:space="preserve">Total revenue</t>
  </si>
  <si>
    <t xml:space="preserve">SEGMENT EBITDA</t>
  </si>
  <si>
    <t xml:space="preserve">Power EBITDA</t>
  </si>
  <si>
    <t xml:space="preserve">Wind EBITDA</t>
  </si>
  <si>
    <t xml:space="preserve">Electrification EBITDA</t>
  </si>
  <si>
    <t xml:space="preserve">Corporate &amp; other</t>
  </si>
  <si>
    <t xml:space="preserve">Adjusted EBITDA</t>
  </si>
  <si>
    <t xml:space="preserve">Adj EBITDA margin</t>
  </si>
  <si>
    <t xml:space="preserve">BRIDGE FROM ADJ EBITDA TO NET INCOME</t>
  </si>
  <si>
    <t xml:space="preserve">Less: D&amp;A (% of revenue)</t>
  </si>
  <si>
    <t xml:space="preserve">Less: Stock-based compensation</t>
  </si>
  <si>
    <t xml:space="preserve">Less: Restructuring &amp; other</t>
  </si>
  <si>
    <t xml:space="preserve">Operating Income (approx)</t>
  </si>
  <si>
    <t xml:space="preserve">Add: Non-operating benefit income (pension)</t>
  </si>
  <si>
    <t xml:space="preserve">Pre-tax income</t>
  </si>
  <si>
    <t xml:space="preserve">Less: Tax provision (normalized)</t>
  </si>
  <si>
    <t xml:space="preserve">Net Income (normalized)</t>
  </si>
  <si>
    <t xml:space="preserve">Diluted WASO (M)</t>
  </si>
  <si>
    <t xml:space="preserve">Normalized EPS ($/share)</t>
  </si>
  <si>
    <t xml:space="preserve">UNLEVERED FREE CASH FLOW BUILD</t>
  </si>
  <si>
    <t xml:space="preserve">EBITDA - tax on EBIT - CapEx - ΔNWC = Unlevered FCF</t>
  </si>
  <si>
    <t xml:space="preserve">Total Revenue</t>
  </si>
  <si>
    <t xml:space="preserve">Less: D&amp;A</t>
  </si>
  <si>
    <t xml:space="preserve">EBIT</t>
  </si>
  <si>
    <t xml:space="preserve">Less: Tax on EBIT (NOPAT approach)</t>
  </si>
  <si>
    <t xml:space="preserve">NOPAT</t>
  </si>
  <si>
    <t xml:space="preserve">Add: D&amp;A (non-cash)</t>
  </si>
  <si>
    <t xml:space="preserve">Less: CapEx</t>
  </si>
  <si>
    <t xml:space="preserve">Less: Δ Net Working Capital</t>
  </si>
  <si>
    <t xml:space="preserve">Unlevered Free Cash Flow</t>
  </si>
  <si>
    <t xml:space="preserve">Unlevered FCF margin</t>
  </si>
  <si>
    <t xml:space="preserve">Unlevered FCF YoY growth</t>
  </si>
  <si>
    <t xml:space="preserve">DCF VALUATION</t>
  </si>
  <si>
    <t xml:space="preserve">Discounting forecast UFCF at WACC; Gordon growth terminal value + exit multiple sanity check.</t>
  </si>
  <si>
    <t xml:space="preserve">Valuation date</t>
  </si>
  <si>
    <t xml:space="preserve">WACC (linked from Assumptions)</t>
  </si>
  <si>
    <t xml:space="preserve">Period</t>
  </si>
  <si>
    <t xml:space="preserve">Unlevered FCF ($M)</t>
  </si>
  <si>
    <t xml:space="preserve">Discount factor</t>
  </si>
  <si>
    <t xml:space="preserve">PV of Unlevered FCF</t>
  </si>
  <si>
    <t xml:space="preserve">Sum of PV(FCF) — explicit period</t>
  </si>
  <si>
    <t xml:space="preserve">TERMINAL VALUE</t>
  </si>
  <si>
    <t xml:space="preserve">Method 1: Gordon Growth</t>
  </si>
  <si>
    <t xml:space="preserve">Terminal FCF (Yr 5 × (1+g))</t>
  </si>
  <si>
    <t xml:space="preserve">Terminal Value (undiscounted)</t>
  </si>
  <si>
    <t xml:space="preserve">PV of Terminal Value</t>
  </si>
  <si>
    <t xml:space="preserve">Method 2: Exit Multiple (EV/EBITDA)</t>
  </si>
  <si>
    <t xml:space="preserve">Year 5 EBITDA</t>
  </si>
  <si>
    <t xml:space="preserve">Terminal EV (EBITDA × multiple)</t>
  </si>
  <si>
    <t xml:space="preserve">PV of Terminal Value (Exit Mult)</t>
  </si>
  <si>
    <t xml:space="preserve">ENTERPRISE VALUE</t>
  </si>
  <si>
    <t xml:space="preserve">EV (Gordon Growth method)</t>
  </si>
  <si>
    <t xml:space="preserve">EV (Exit Multiple method) — sanity check</t>
  </si>
  <si>
    <t xml:space="preserve">EQUITY BRIDGE (using Gordon Growth EV)</t>
  </si>
  <si>
    <t xml:space="preserve">Enterprise Value</t>
  </si>
  <si>
    <t xml:space="preserve">Less: Total debt</t>
  </si>
  <si>
    <t xml:space="preserve">Less: Pension underfunding</t>
  </si>
  <si>
    <t xml:space="preserve">Less: Non-controlling interests</t>
  </si>
  <si>
    <t xml:space="preserve">Add: Cash &amp; equivalents</t>
  </si>
  <si>
    <t xml:space="preserve">Add: Equity method investments</t>
  </si>
  <si>
    <t xml:space="preserve">EQUITY VALUE</t>
  </si>
  <si>
    <t xml:space="preserve">Diluted shares outstanding (M)</t>
  </si>
  <si>
    <t xml:space="preserve">IMPLIED PRICE PER SHARE</t>
  </si>
  <si>
    <t xml:space="preserve">Current market price (as of 4/14/26)</t>
  </si>
  <si>
    <t xml:space="preserve">Implied upside/(downside)</t>
  </si>
  <si>
    <t xml:space="preserve">HISTORICAL FINANCIALS (from 2025 10-K)</t>
  </si>
  <si>
    <t xml:space="preserve">All figures $M unless noted. Source: GE Vernova 2025 Form 10-K filed January 29, 2026.</t>
  </si>
  <si>
    <t xml:space="preserve">REVENUE BY SUB-SEGMENT</t>
  </si>
  <si>
    <t xml:space="preserve">Power</t>
  </si>
  <si>
    <t xml:space="preserve">Wind</t>
  </si>
  <si>
    <t xml:space="preserve">Electrification</t>
  </si>
  <si>
    <t xml:space="preserve">INCOME STATEMENT KEY LINES</t>
  </si>
  <si>
    <t xml:space="preserve">Equipment revenue</t>
  </si>
  <si>
    <t xml:space="preserve">Services revenue</t>
  </si>
  <si>
    <t xml:space="preserve">Cost of equipment</t>
  </si>
  <si>
    <t xml:space="preserve">Cost of services</t>
  </si>
  <si>
    <t xml:space="preserve">Gross profit</t>
  </si>
  <si>
    <t xml:space="preserve">SG&amp;A</t>
  </si>
  <si>
    <t xml:space="preserve">R&amp;D</t>
  </si>
  <si>
    <t xml:space="preserve">Operating income</t>
  </si>
  <si>
    <t xml:space="preserve">Non-operating benefit income</t>
  </si>
  <si>
    <t xml:space="preserve">Interest &amp; other financial inc (chg)</t>
  </si>
  <si>
    <t xml:space="preserve">Other income (expense) – net</t>
  </si>
  <si>
    <t xml:space="preserve">Tax provision (benefit)</t>
  </si>
  <si>
    <t xml:space="preserve">Net income</t>
  </si>
  <si>
    <t xml:space="preserve">D&amp;A (PP&amp;E + intangibles)</t>
  </si>
  <si>
    <t xml:space="preserve">CASH FLOW</t>
  </si>
  <si>
    <t xml:space="preserve">Cash from operations</t>
  </si>
  <si>
    <t xml:space="preserve">CapEx (PP&amp;E + software)</t>
  </si>
  <si>
    <t xml:space="preserve">Free Cash Flow</t>
  </si>
  <si>
    <t xml:space="preserve">Shares repurchased ($M)</t>
  </si>
  <si>
    <t xml:space="preserve">Dividends paid ($M)</t>
  </si>
  <si>
    <t xml:space="preserve">SHARE DATA &amp; BALANCE SHEET</t>
  </si>
  <si>
    <t xml:space="preserve">Diluted weighted-avg shares (M)</t>
  </si>
  <si>
    <t xml:space="preserve">Shares outstanding, YE (M)</t>
  </si>
  <si>
    <t xml:space="preserve">Cash &amp; equivalents</t>
  </si>
  <si>
    <t xml:space="preserve">Total debt (ex. finance leases)</t>
  </si>
  <si>
    <t xml:space="preserve">Total equity</t>
  </si>
  <si>
    <t xml:space="preserve">SENSITIVITY ANALYSIS</t>
  </si>
  <si>
    <t xml:space="preserve">Live formulas. Grid shows implied price/share across WACC and terminal assumptions.</t>
  </si>
  <si>
    <t xml:space="preserve">Forecast UFCF (from FCF tab — do not edit)</t>
  </si>
  <si>
    <t xml:space="preserve">Unlevered FCF</t>
  </si>
  <si>
    <t xml:space="preserve">2030E EBITDA</t>
  </si>
  <si>
    <t xml:space="preserve">Equity Bridge Adjustments ($M, from DCF tab)</t>
  </si>
  <si>
    <t xml:space="preserve">Less: Total debt (post-Prolec)</t>
  </si>
  <si>
    <t xml:space="preserve">Add: Cash</t>
  </si>
  <si>
    <t xml:space="preserve">Add: Equity investments</t>
  </si>
  <si>
    <t xml:space="preserve">Net bridge adjustment</t>
  </si>
  <si>
    <t xml:space="preserve">Diluted shares (M)</t>
  </si>
  <si>
    <t xml:space="preserve">TABLE 1: Implied Price/Share — Gordon Growth Method</t>
  </si>
  <si>
    <t xml:space="preserve">Rows = terminal growth (g). Columns = WACC.</t>
  </si>
  <si>
    <t xml:space="preserve">g  \  WACC</t>
  </si>
  <si>
    <t xml:space="preserve">Base case (WACC 11.3%, g 2.5%) highlighted in green</t>
  </si>
  <si>
    <t xml:space="preserve">Current market price: $995</t>
  </si>
  <si>
    <t xml:space="preserve">TABLE 2: Implied Price/Share — Exit EV/EBITDA Multiple Method</t>
  </si>
  <si>
    <t xml:space="preserve">Rows = exit multiple. Columns = WACC.</t>
  </si>
  <si>
    <t xml:space="preserve">Mult  \  WACC</t>
  </si>
  <si>
    <t xml:space="preserve">Base case (WACC 11.3%, 18x) highlighted in green</t>
  </si>
  <si>
    <t xml:space="preserve">TABLE 3: Upside/(Downside) vs $995 — Gordon Growth</t>
  </si>
  <si>
    <t xml:space="preserve">Current price:</t>
  </si>
  <si>
    <t xml:space="preserve">Reading the tables:</t>
  </si>
  <si>
    <t xml:space="preserve">• Table 1 &amp; 3: Classic DCF using Gordon Growth terminal. Most intellectually honest.</t>
  </si>
  <si>
    <t xml:space="preserve">• Table 2: Exit multiple terminal. Effectively prices GEV as if it will trade at peer multiples in 2030 regardless of growth/WACC.</t>
  </si>
  <si>
    <t xml:space="preserve">• Gap between methods reflects how much "future multiple" you are assuming. Market is effectively pricing even higher than Table 2 suggests.</t>
  </si>
  <si>
    <t xml:space="preserve">SCENARIO ANALYSIS</t>
  </si>
  <si>
    <t xml:space="preserve">Toggle scenario by changing cell C5. Model pulls the matching column (Bear/Base/Bull) from the table below.</t>
  </si>
  <si>
    <t xml:space="preserve">ACTIVE SCENARIO:</t>
  </si>
  <si>
    <t xml:space="preserve">Base</t>
  </si>
  <si>
    <t xml:space="preserve">← Type "Bear", "Base", or "Bull"</t>
  </si>
  <si>
    <t xml:space="preserve">Column index:</t>
  </si>
  <si>
    <t xml:space="preserve">LIVE OUTPUT (reflects active scenario from DCF tab)</t>
  </si>
  <si>
    <t xml:space="preserve">Terminal g</t>
  </si>
  <si>
    <t xml:space="preserve">IMPLIED PRICE</t>
  </si>
  <si>
    <t xml:space="preserve">UPSIDE vs $995</t>
  </si>
  <si>
    <t xml:space="preserve">2030E Revenue</t>
  </si>
  <si>
    <t xml:space="preserve">To compare scenarios: toggle C5 above. To view all three simultaneously: see summary table at bottom.</t>
  </si>
  <si>
    <t xml:space="preserve">SCENARIO ASSUMPTION TABLES</t>
  </si>
  <si>
    <t xml:space="preserve">Assumption</t>
  </si>
  <si>
    <t xml:space="preserve">Bear</t>
  </si>
  <si>
    <t xml:space="preserve">Bull</t>
  </si>
  <si>
    <t xml:space="preserve">Active</t>
  </si>
  <si>
    <t xml:space="preserve">Note</t>
  </si>
  <si>
    <t xml:space="preserve">REVENUE GROWTH (by sub-segment, by year)</t>
  </si>
  <si>
    <t xml:space="preserve">Gas Power growth 2026E</t>
  </si>
  <si>
    <t xml:space="preserve">Gas Power growth 2027E</t>
  </si>
  <si>
    <t xml:space="preserve">Gas Power growth 2028E</t>
  </si>
  <si>
    <t xml:space="preserve">Gas Power growth 2029E</t>
  </si>
  <si>
    <t xml:space="preserve">Gas Power growth 2030E</t>
  </si>
  <si>
    <t xml:space="preserve">Nuclear Power growth 2026E</t>
  </si>
  <si>
    <t xml:space="preserve">Nuclear Power growth 2027E</t>
  </si>
  <si>
    <t xml:space="preserve">Nuclear Power growth 2028E</t>
  </si>
  <si>
    <t xml:space="preserve">Nuclear Power growth 2029E</t>
  </si>
  <si>
    <t xml:space="preserve">Nuclear Power growth 2030E</t>
  </si>
  <si>
    <t xml:space="preserve">Hydro Power growth 2026E</t>
  </si>
  <si>
    <t xml:space="preserve">Hydro Power growth 2027E</t>
  </si>
  <si>
    <t xml:space="preserve">Hydro Power growth 2028E</t>
  </si>
  <si>
    <t xml:space="preserve">Hydro Power growth 2029E</t>
  </si>
  <si>
    <t xml:space="preserve">Hydro Power growth 2030E</t>
  </si>
  <si>
    <t xml:space="preserve">Steam Power growth 2026E</t>
  </si>
  <si>
    <t xml:space="preserve">Steam Power growth 2027E</t>
  </si>
  <si>
    <t xml:space="preserve">Steam Power growth 2028E</t>
  </si>
  <si>
    <t xml:space="preserve">Steam Power growth 2029E</t>
  </si>
  <si>
    <t xml:space="preserve">Steam Power growth 2030E</t>
  </si>
  <si>
    <t xml:space="preserve">Onshore Wind growth 2026E</t>
  </si>
  <si>
    <t xml:space="preserve">Onshore Wind growth 2027E</t>
  </si>
  <si>
    <t xml:space="preserve">Onshore Wind growth 2028E</t>
  </si>
  <si>
    <t xml:space="preserve">Onshore Wind growth 2029E</t>
  </si>
  <si>
    <t xml:space="preserve">Onshore Wind growth 2030E</t>
  </si>
  <si>
    <t xml:space="preserve">Offshore Wind growth 2026E</t>
  </si>
  <si>
    <t xml:space="preserve">Offshore Wind growth 2027E</t>
  </si>
  <si>
    <t xml:space="preserve">Offshore Wind growth 2028E</t>
  </si>
  <si>
    <t xml:space="preserve">Offshore Wind growth 2029E</t>
  </si>
  <si>
    <t xml:space="preserve">Offshore Wind growth 2030E</t>
  </si>
  <si>
    <t xml:space="preserve">LM Wind Power growth 2026E</t>
  </si>
  <si>
    <t xml:space="preserve">LM Wind Power growth 2027E</t>
  </si>
  <si>
    <t xml:space="preserve">LM Wind Power growth 2028E</t>
  </si>
  <si>
    <t xml:space="preserve">LM Wind Power growth 2029E</t>
  </si>
  <si>
    <t xml:space="preserve">LM Wind Power growth 2030E</t>
  </si>
  <si>
    <t xml:space="preserve">Grid Solutions growth 2026E</t>
  </si>
  <si>
    <t xml:space="preserve">Grid Solutions growth 2027E</t>
  </si>
  <si>
    <t xml:space="preserve">Grid Solutions growth 2028E</t>
  </si>
  <si>
    <t xml:space="preserve">Grid Solutions growth 2029E</t>
  </si>
  <si>
    <t xml:space="preserve">Grid Solutions growth 2030E</t>
  </si>
  <si>
    <t xml:space="preserve">Power Conversion &amp; Storage growth 2026E</t>
  </si>
  <si>
    <t xml:space="preserve">Power Conversion &amp; Storage growth 2027E</t>
  </si>
  <si>
    <t xml:space="preserve">Power Conversion &amp; Storage growth 2028E</t>
  </si>
  <si>
    <t xml:space="preserve">Power Conversion &amp; Storage growth 2029E</t>
  </si>
  <si>
    <t xml:space="preserve">Power Conversion &amp; Storage growth 2030E</t>
  </si>
  <si>
    <t xml:space="preserve">Electrification Software growth 2026E</t>
  </si>
  <si>
    <t xml:space="preserve">Electrification Software growth 2027E</t>
  </si>
  <si>
    <t xml:space="preserve">Electrification Software growth 2028E</t>
  </si>
  <si>
    <t xml:space="preserve">Electrification Software growth 2029E</t>
  </si>
  <si>
    <t xml:space="preserve">Electrification Software growth 2030E</t>
  </si>
  <si>
    <t xml:space="preserve">SEGMENT EBITDA MARGINS</t>
  </si>
  <si>
    <t xml:space="preserve">Power EBITDA margin 2026E</t>
  </si>
  <si>
    <t xml:space="preserve">Power EBITDA margin 2027E</t>
  </si>
  <si>
    <t xml:space="preserve">Power EBITDA margin 2028E</t>
  </si>
  <si>
    <t xml:space="preserve">Power EBITDA margin 2029E</t>
  </si>
  <si>
    <t xml:space="preserve">Power EBITDA margin 2030E</t>
  </si>
  <si>
    <t xml:space="preserve">Wind EBITDA margin 2026E</t>
  </si>
  <si>
    <t xml:space="preserve">Wind EBITDA margin 2027E</t>
  </si>
  <si>
    <t xml:space="preserve">Wind EBITDA margin 2028E</t>
  </si>
  <si>
    <t xml:space="preserve">Wind EBITDA margin 2029E</t>
  </si>
  <si>
    <t xml:space="preserve">Wind EBITDA margin 2030E</t>
  </si>
  <si>
    <t xml:space="preserve">Electrification EBITDA margin 2026E</t>
  </si>
  <si>
    <t xml:space="preserve">Electrification EBITDA margin 2027E</t>
  </si>
  <si>
    <t xml:space="preserve">Electrification EBITDA margin 2028E</t>
  </si>
  <si>
    <t xml:space="preserve">Electrification EBITDA margin 2029E</t>
  </si>
  <si>
    <t xml:space="preserve">Electrification EBITDA margin 2030E</t>
  </si>
  <si>
    <t xml:space="preserve">WACC &amp; TERMINAL</t>
  </si>
  <si>
    <t xml:space="preserve">Beta</t>
  </si>
  <si>
    <t xml:space="preserve">Higher in Bear (more risk), lower in Bull (AI premium accepted)</t>
  </si>
  <si>
    <t xml:space="preserve">Terminal growth</t>
  </si>
  <si>
    <t xml:space="preserve">Perpetuity growth rate</t>
  </si>
  <si>
    <t xml:space="preserve">ALL-SCENARIOS SUMMARY (simplified embedded DCF)</t>
  </si>
  <si>
    <t xml:space="preserve">Metric</t>
  </si>
  <si>
    <t xml:space="preserve">2030E Power Revenue</t>
  </si>
  <si>
    <t xml:space="preserve">2030E Wind Revenue</t>
  </si>
  <si>
    <t xml:space="preserve">2030E Electrification Revenue</t>
  </si>
  <si>
    <t xml:space="preserve">2030E Power EBITDA</t>
  </si>
  <si>
    <t xml:space="preserve">2030E Wind EBITDA</t>
  </si>
  <si>
    <t xml:space="preserve">2030E Electrification EBITDA</t>
  </si>
  <si>
    <t xml:space="preserve">2030E Corporate expense</t>
  </si>
  <si>
    <t xml:space="preserve">2030E Adj EBITDA</t>
  </si>
  <si>
    <t xml:space="preserve">2030E Adj EBITDA margin</t>
  </si>
  <si>
    <t xml:space="preserve">Scenario WACC</t>
  </si>
  <si>
    <t xml:space="preserve">2030E FCF (approx 57% of EBITDA)</t>
  </si>
  <si>
    <t xml:space="preserve">Explicit FCF PV (~30% of TV PV)</t>
  </si>
  <si>
    <t xml:space="preserve">Net bridge</t>
  </si>
  <si>
    <t xml:space="preserve">Equity Value</t>
  </si>
  <si>
    <t xml:space="preserve">Current price</t>
  </si>
  <si>
    <t xml:space="preserve">Upside / (Downside)</t>
  </si>
  <si>
    <t xml:space="preserve">Note: Summary uses simplified Gordon Growth model. Full DCF on DCF tab reflects active scenario (toggle C5).</t>
  </si>
  <si>
    <t xml:space="preserve">COMPARABLE COMPANIES ANALYSIS</t>
  </si>
  <si>
    <t xml:space="preserve">Trading multiples as of April 10-14, 2026. Applied to GEV forecasts to derive implied valuation.</t>
  </si>
  <si>
    <t xml:space="preserve">PEER GROUP TRADING MULTIPLES</t>
  </si>
  <si>
    <t xml:space="preserve">Company</t>
  </si>
  <si>
    <t xml:space="preserve">Ticker</t>
  </si>
  <si>
    <t xml:space="preserve">Market Cap ($B)</t>
  </si>
  <si>
    <t xml:space="preserve">EV ($B)</t>
  </si>
  <si>
    <t xml:space="preserve">Rev TTM ($B)</t>
  </si>
  <si>
    <t xml:space="preserve">EBITDA TTM ($B)</t>
  </si>
  <si>
    <t xml:space="preserve">EBITDA margin</t>
  </si>
  <si>
    <t xml:space="preserve">Rev growth (LTM)</t>
  </si>
  <si>
    <t xml:space="preserve">EV/Rev</t>
  </si>
  <si>
    <t xml:space="preserve">EV/EBITDA (TTM)</t>
  </si>
  <si>
    <t xml:space="preserve">EV/EBITDA (FWD)</t>
  </si>
  <si>
    <t xml:space="preserve">P/E (TTM)</t>
  </si>
  <si>
    <t xml:space="preserve">P/E (FWD)</t>
  </si>
  <si>
    <t xml:space="preserve">Eaton</t>
  </si>
  <si>
    <t xml:space="preserve">ETN</t>
  </si>
  <si>
    <t xml:space="preserve">Emerson Electric</t>
  </si>
  <si>
    <t xml:space="preserve">EMR</t>
  </si>
  <si>
    <t xml:space="preserve">Siemens Energy</t>
  </si>
  <si>
    <t xml:space="preserve">ENR.DE</t>
  </si>
  <si>
    <t xml:space="preserve">ABB</t>
  </si>
  <si>
    <t xml:space="preserve">ABBNY</t>
  </si>
  <si>
    <t xml:space="preserve">Hubbell</t>
  </si>
  <si>
    <t xml:space="preserve">HUBB</t>
  </si>
  <si>
    <t xml:space="preserve">Schneider Electric</t>
  </si>
  <si>
    <t xml:space="preserve">SBGSY</t>
  </si>
  <si>
    <t xml:space="preserve">Rockwell Automation</t>
  </si>
  <si>
    <t xml:space="preserve">ROK</t>
  </si>
  <si>
    <t xml:space="preserve">Vertiv</t>
  </si>
  <si>
    <t xml:space="preserve">VRT</t>
  </si>
  <si>
    <t xml:space="preserve">Quanta Services</t>
  </si>
  <si>
    <t xml:space="preserve">PWR</t>
  </si>
  <si>
    <t xml:space="preserve">GE Vernova (Subject)</t>
  </si>
  <si>
    <t xml:space="preserve">GEV</t>
  </si>
  <si>
    <t xml:space="preserve">PEER STATISTICS</t>
  </si>
  <si>
    <t xml:space="preserve">Max</t>
  </si>
  <si>
    <t xml:space="preserve">Min</t>
  </si>
  <si>
    <t xml:space="preserve">Mean</t>
  </si>
  <si>
    <t xml:space="preserve">Median</t>
  </si>
  <si>
    <t xml:space="preserve">Tier 1 median (direct peers)</t>
  </si>
  <si>
    <t xml:space="preserve">IMPLIED GEV VALUATION FROM PEER MULTIPLES</t>
  </si>
  <si>
    <t xml:space="preserve">Applying peer median and Tier 1 median multiples to GEV 2026E and 2027E estimates.</t>
  </si>
  <si>
    <t xml:space="preserve">Method</t>
  </si>
  <si>
    <t xml:space="preserve">GEV Metric</t>
  </si>
  <si>
    <t xml:space="preserve">Multiple (Peer Median)</t>
  </si>
  <si>
    <t xml:space="preserve">Multiple (Tier 1 Median)</t>
  </si>
  <si>
    <t xml:space="preserve">Implied Value (Peer Med)</t>
  </si>
  <si>
    <t xml:space="preserve">Implied Value (Tier 1)</t>
  </si>
  <si>
    <t xml:space="preserve">Implied Price/Share</t>
  </si>
  <si>
    <t xml:space="preserve">Net bridge ($M, EV→Equity adjustment)</t>
  </si>
  <si>
    <t xml:space="preserve">EV/Rev × 2026E Revenue</t>
  </si>
  <si>
    <t xml:space="preserve">EV/EBITDA × 2026E EBITDA</t>
  </si>
  <si>
    <t xml:space="preserve">EV/EBITDA × 2027E EBITDA</t>
  </si>
  <si>
    <t xml:space="preserve">P/E × 2026E EPS (forward)</t>
  </si>
  <si>
    <t xml:space="preserve">P/E × 2027E EPS</t>
  </si>
  <si>
    <t xml:space="preserve">RANGE OF IMPLIED PRICES (Tier 1 median multiples)</t>
  </si>
  <si>
    <t xml:space="preserve">Minimum</t>
  </si>
  <si>
    <t xml:space="preserve">Maximum</t>
  </si>
  <si>
    <t xml:space="preserve">Current market price</t>
  </si>
  <si>
    <t xml:space="preserve">Upside/(Downside) vs mean</t>
  </si>
  <si>
    <t xml:space="preserve">KEY OBSERVATIONS</t>
  </si>
  <si>
    <t xml:space="preserve">1. GEV trades at a MASSIVE premium to direct peers (Eaton, Emerson, ABB, Hubbell) on every multiple.</t>
  </si>
  <si>
    <t xml:space="preserve">2. Vertiv and Quanta Services trade at elevated multiples due to AI data-center narrative — GEV trades even higher.</t>
  </si>
  <si>
    <t xml:space="preserve">3. Siemens Energy (closest direct comp) trades at ~14x forward EV/EBITDA vs GEV near 70x+ on 2025 EBITDA.</t>
  </si>
  <si>
    <t xml:space="preserve">4. Applying peer multiples to GEV 2027E EBITDA/EPS is the most forgiving method (gives the stock credit for 2-yr growth).</t>
  </si>
  <si>
    <t xml:space="preserve">5. Even the most generous "apply peer multiples to forward estimates" framework implies materially below $995.</t>
  </si>
  <si>
    <t xml:space="preserve">6. The market is pricing GEV as a hybrid of: (a) AI data-center play (VRT analog), (b) scarce grid infrastructure name, (c) secular growth compounder.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</si>
</sst>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0.0%;\(0.0%\);\-"/>
    <numFmt numFmtId="167" formatCode="_(\$* #,##0_);_(\$* \(#,##0\);_(\$* \-_);_(@_)"/>
    <numFmt numFmtId="168" formatCode="0.00"/>
    <numFmt numFmtId="169" formatCode="0.0\x"/>
    <numFmt numFmtId="170" formatCode="#,##0.0"/>
    <numFmt numFmtId="171" formatCode="_(\$* #,##0.0_);_(\$* \(#,##0.0\);_(\$* \-_);_(@_)"/>
    <numFmt numFmtId="172" formatCode="0.0000"/>
    <numFmt numFmtId="173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2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6"/>
      <color rgb="FF0000FF"/>
      <name val="Arial"/>
      <family val="0"/>
      <charset val="1"/>
    </font>
    <font>
      <b val="true"/>
      <sz val="14"/>
      <color rgb="FF0000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9E1F2"/>
        <bgColor rgb="FFDEEBF7"/>
      </patternFill>
    </fill>
    <fill>
      <patternFill patternType="solid">
        <fgColor rgb="FFF2F2F2"/>
        <bgColor rgb="FFE7F0DC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C6EFCE"/>
        <bgColor rgb="FFE7F0DC"/>
      </patternFill>
    </fill>
    <fill>
      <patternFill patternType="solid">
        <fgColor rgb="FFFFC000"/>
        <bgColor rgb="FFFF9900"/>
      </patternFill>
    </fill>
    <fill>
      <patternFill patternType="solid">
        <fgColor rgb="FFDEEBF7"/>
        <bgColor rgb="FFD9E1F2"/>
      </patternFill>
    </fill>
    <fill>
      <patternFill patternType="solid">
        <fgColor rgb="FFE7F0DC"/>
        <bgColor rgb="FFF2F2F2"/>
      </patternFill>
    </fill>
    <fill>
      <patternFill patternType="solid">
        <fgColor rgb="FFFCE4D6"/>
        <bgColor rgb="FFE7F0D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8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EEBF7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0DC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0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5"/>
    <col collapsed="false" customWidth="true" hidden="false" outlineLevel="0" max="3" min="3" style="1" width="80"/>
  </cols>
  <sheetData>
    <row r="2" customFormat="false" ht="21.7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C5" s="5" t="s">
        <v>3</v>
      </c>
    </row>
    <row r="6" customFormat="false" ht="15" hidden="false" customHeight="true" outlineLevel="0" collapsed="false">
      <c r="B6" s="4" t="s">
        <v>4</v>
      </c>
      <c r="C6" s="5" t="s">
        <v>5</v>
      </c>
    </row>
    <row r="7" customFormat="false" ht="15" hidden="false" customHeight="true" outlineLevel="0" collapsed="false">
      <c r="B7" s="4" t="s">
        <v>6</v>
      </c>
      <c r="C7" s="5" t="s">
        <v>7</v>
      </c>
    </row>
    <row r="9" customFormat="false" ht="15" hidden="false" customHeight="true" outlineLevel="0" collapsed="false">
      <c r="B9" s="6" t="s">
        <v>8</v>
      </c>
    </row>
    <row r="11" customFormat="false" ht="15" hidden="false" customHeight="true" outlineLevel="0" collapsed="false">
      <c r="B11" s="7" t="s">
        <v>9</v>
      </c>
      <c r="C11" s="7" t="s">
        <v>10</v>
      </c>
    </row>
    <row r="12" customFormat="false" ht="15" hidden="false" customHeight="true" outlineLevel="0" collapsed="false">
      <c r="B12" s="8" t="s">
        <v>11</v>
      </c>
      <c r="C12" s="9" t="s">
        <v>12</v>
      </c>
    </row>
    <row r="13" customFormat="false" ht="15" hidden="false" customHeight="true" outlineLevel="0" collapsed="false">
      <c r="B13" s="8" t="s">
        <v>13</v>
      </c>
      <c r="C13" s="9" t="s">
        <v>14</v>
      </c>
    </row>
    <row r="14" customFormat="false" ht="15" hidden="false" customHeight="true" outlineLevel="0" collapsed="false">
      <c r="B14" s="8" t="s">
        <v>15</v>
      </c>
      <c r="C14" s="9" t="s">
        <v>16</v>
      </c>
    </row>
    <row r="15" customFormat="false" ht="15" hidden="false" customHeight="true" outlineLevel="0" collapsed="false">
      <c r="B15" s="8" t="s">
        <v>17</v>
      </c>
      <c r="C15" s="9" t="s">
        <v>18</v>
      </c>
    </row>
    <row r="16" customFormat="false" ht="15" hidden="false" customHeight="true" outlineLevel="0" collapsed="false">
      <c r="B16" s="8" t="s">
        <v>19</v>
      </c>
      <c r="C16" s="9" t="s">
        <v>20</v>
      </c>
    </row>
    <row r="17" customFormat="false" ht="15" hidden="false" customHeight="true" outlineLevel="0" collapsed="false">
      <c r="B17" s="8" t="s">
        <v>21</v>
      </c>
      <c r="C17" s="9" t="s">
        <v>22</v>
      </c>
    </row>
    <row r="18" customFormat="false" ht="15" hidden="false" customHeight="true" outlineLevel="0" collapsed="false">
      <c r="B18" s="8" t="s">
        <v>23</v>
      </c>
      <c r="C18" s="9" t="s">
        <v>24</v>
      </c>
    </row>
    <row r="19" customFormat="false" ht="15" hidden="false" customHeight="true" outlineLevel="0" collapsed="false">
      <c r="B19" s="8" t="s">
        <v>25</v>
      </c>
      <c r="C19" s="9" t="s">
        <v>26</v>
      </c>
    </row>
    <row r="22" customFormat="false" ht="15" hidden="false" customHeight="true" outlineLevel="0" collapsed="false">
      <c r="B22" s="6" t="s">
        <v>27</v>
      </c>
    </row>
    <row r="24" customFormat="false" ht="15" hidden="false" customHeight="true" outlineLevel="0" collapsed="false">
      <c r="B24" s="10" t="s">
        <v>28</v>
      </c>
      <c r="C24" s="11" t="s">
        <v>29</v>
      </c>
    </row>
    <row r="25" customFormat="false" ht="15" hidden="false" customHeight="true" outlineLevel="0" collapsed="false">
      <c r="B25" s="4" t="s">
        <v>30</v>
      </c>
      <c r="C25" s="11" t="s">
        <v>31</v>
      </c>
    </row>
    <row r="26" customFormat="false" ht="15" hidden="false" customHeight="true" outlineLevel="0" collapsed="false">
      <c r="B26" s="12" t="s">
        <v>32</v>
      </c>
      <c r="C26" s="11" t="s">
        <v>33</v>
      </c>
    </row>
    <row r="27" customFormat="false" ht="15" hidden="false" customHeight="true" outlineLevel="0" collapsed="false">
      <c r="B27" s="13" t="s">
        <v>34</v>
      </c>
      <c r="C27" s="11" t="s">
        <v>35</v>
      </c>
    </row>
    <row r="30" customFormat="false" ht="15" hidden="false" customHeight="true" outlineLevel="0" collapsed="false">
      <c r="B30" s="6" t="s">
        <v>36</v>
      </c>
    </row>
    <row r="32" customFormat="false" ht="15" hidden="false" customHeight="true" outlineLevel="0" collapsed="false">
      <c r="B32" s="4" t="s">
        <v>37</v>
      </c>
      <c r="C32" s="14" t="s">
        <v>38</v>
      </c>
    </row>
    <row r="33" customFormat="false" ht="15" hidden="false" customHeight="true" outlineLevel="0" collapsed="false">
      <c r="B33" s="4" t="s">
        <v>39</v>
      </c>
      <c r="C33" s="14" t="s">
        <v>40</v>
      </c>
    </row>
    <row r="34" customFormat="false" ht="15" hidden="false" customHeight="true" outlineLevel="0" collapsed="false">
      <c r="B34" s="4" t="s">
        <v>41</v>
      </c>
      <c r="C34" s="14" t="s">
        <v>42</v>
      </c>
    </row>
    <row r="37" customFormat="false" ht="15" hidden="false" customHeight="true" outlineLevel="0" collapsed="false">
      <c r="B37" s="6" t="s">
        <v>43</v>
      </c>
    </row>
    <row r="39" customFormat="false" ht="15" hidden="false" customHeight="true" outlineLevel="0" collapsed="false">
      <c r="B39" s="15" t="s">
        <v>44</v>
      </c>
      <c r="C39" s="15"/>
      <c r="D39" s="15"/>
      <c r="E39" s="15"/>
      <c r="F39" s="15"/>
      <c r="G39" s="15"/>
      <c r="H39" s="15"/>
    </row>
    <row r="40" customFormat="false" ht="15" hidden="false" customHeight="true" outlineLevel="0" collapsed="false">
      <c r="B40" s="15" t="s">
        <v>45</v>
      </c>
      <c r="C40" s="15"/>
      <c r="D40" s="15"/>
      <c r="E40" s="15"/>
      <c r="F40" s="15"/>
      <c r="G40" s="15"/>
      <c r="H40" s="15"/>
    </row>
    <row r="41" customFormat="false" ht="15" hidden="false" customHeight="true" outlineLevel="0" collapsed="false">
      <c r="B41" s="15" t="s">
        <v>46</v>
      </c>
      <c r="C41" s="15"/>
      <c r="D41" s="15"/>
      <c r="E41" s="15"/>
      <c r="F41" s="15"/>
      <c r="G41" s="15"/>
      <c r="H41" s="15"/>
    </row>
    <row r="42" customFormat="false" ht="15" hidden="false" customHeight="true" outlineLevel="0" collapsed="false">
      <c r="B42" s="15" t="s">
        <v>47</v>
      </c>
      <c r="C42" s="15"/>
      <c r="D42" s="15"/>
      <c r="E42" s="15"/>
      <c r="F42" s="15"/>
      <c r="G42" s="15"/>
      <c r="H42" s="15"/>
    </row>
    <row r="43" customFormat="false" ht="15" hidden="false" customHeight="true" outlineLevel="0" collapsed="false">
      <c r="B43" s="15" t="s">
        <v>48</v>
      </c>
      <c r="C43" s="15"/>
      <c r="D43" s="15"/>
      <c r="E43" s="15"/>
      <c r="F43" s="15"/>
      <c r="G43" s="15"/>
      <c r="H43" s="15"/>
    </row>
  </sheetData>
  <mergeCells count="5">
    <mergeCell ref="B39:H39"/>
    <mergeCell ref="B40:H40"/>
    <mergeCell ref="B41:H41"/>
    <mergeCell ref="B42:H42"/>
    <mergeCell ref="B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3" min="3" style="1" width="14"/>
    <col collapsed="false" customWidth="true" hidden="false" outlineLevel="0" max="4" min="4" style="1" width="45"/>
    <col collapsed="false" customWidth="true" hidden="false" outlineLevel="0" max="10" min="5" style="1" width="14"/>
  </cols>
  <sheetData>
    <row r="2" customFormat="false" ht="17.25" hidden="false" customHeight="true" outlineLevel="0" collapsed="false">
      <c r="B2" s="16" t="s">
        <v>49</v>
      </c>
    </row>
    <row r="4" customFormat="false" ht="15" hidden="false" customHeight="true" outlineLevel="0" collapsed="false">
      <c r="B4" s="17" t="s">
        <v>50</v>
      </c>
    </row>
    <row r="6" customFormat="false" ht="15" hidden="false" customHeight="true" outlineLevel="0" collapsed="false">
      <c r="B6" s="18" t="s">
        <v>51</v>
      </c>
      <c r="C6" s="19" t="s">
        <v>52</v>
      </c>
      <c r="D6" s="19" t="s">
        <v>53</v>
      </c>
      <c r="E6" s="19" t="s">
        <v>54</v>
      </c>
      <c r="F6" s="19" t="s">
        <v>55</v>
      </c>
      <c r="G6" s="19" t="s">
        <v>56</v>
      </c>
      <c r="H6" s="19" t="s">
        <v>57</v>
      </c>
      <c r="I6" s="19" t="s">
        <v>58</v>
      </c>
      <c r="J6" s="19" t="s">
        <v>59</v>
      </c>
    </row>
    <row r="8" customFormat="false" ht="15" hidden="false" customHeight="true" outlineLevel="0" collapsed="false">
      <c r="B8" s="6" t="s">
        <v>60</v>
      </c>
    </row>
    <row r="10" customFormat="false" ht="15" hidden="false" customHeight="true" outlineLevel="0" collapsed="false">
      <c r="B10" s="11" t="s">
        <v>61</v>
      </c>
      <c r="F10" s="20" t="n">
        <f aca="false">Scenarios!F20</f>
        <v>0.15</v>
      </c>
      <c r="G10" s="20" t="n">
        <f aca="false">Scenarios!F21</f>
        <v>0.13</v>
      </c>
      <c r="H10" s="20" t="n">
        <f aca="false">Scenarios!F22</f>
        <v>0.11</v>
      </c>
      <c r="I10" s="20" t="n">
        <f aca="false">Scenarios!F23</f>
        <v>0.09</v>
      </c>
      <c r="J10" s="20" t="n">
        <f aca="false">Scenarios!F24</f>
        <v>0.07</v>
      </c>
    </row>
    <row r="11" customFormat="false" ht="15" hidden="false" customHeight="true" outlineLevel="0" collapsed="false">
      <c r="B11" s="11" t="s">
        <v>62</v>
      </c>
      <c r="F11" s="20" t="n">
        <f aca="false">Scenarios!F25</f>
        <v>0.15</v>
      </c>
      <c r="G11" s="20" t="n">
        <f aca="false">Scenarios!F26</f>
        <v>0.15</v>
      </c>
      <c r="H11" s="20" t="n">
        <f aca="false">Scenarios!F27</f>
        <v>0.14</v>
      </c>
      <c r="I11" s="20" t="n">
        <f aca="false">Scenarios!F28</f>
        <v>0.12</v>
      </c>
      <c r="J11" s="20" t="n">
        <f aca="false">Scenarios!F29</f>
        <v>0.1</v>
      </c>
    </row>
    <row r="12" customFormat="false" ht="15" hidden="false" customHeight="true" outlineLevel="0" collapsed="false">
      <c r="B12" s="11" t="s">
        <v>63</v>
      </c>
      <c r="F12" s="20" t="n">
        <f aca="false">Scenarios!F30</f>
        <v>0.03</v>
      </c>
      <c r="G12" s="20" t="n">
        <f aca="false">Scenarios!F31</f>
        <v>0.03</v>
      </c>
      <c r="H12" s="20" t="n">
        <f aca="false">Scenarios!F32</f>
        <v>0.03</v>
      </c>
      <c r="I12" s="20" t="n">
        <f aca="false">Scenarios!F33</f>
        <v>0.03</v>
      </c>
      <c r="J12" s="20" t="n">
        <f aca="false">Scenarios!F34</f>
        <v>0.03</v>
      </c>
    </row>
    <row r="13" customFormat="false" ht="15" hidden="false" customHeight="true" outlineLevel="0" collapsed="false">
      <c r="B13" s="11" t="s">
        <v>64</v>
      </c>
      <c r="F13" s="20" t="n">
        <f aca="false">Scenarios!F35</f>
        <v>-0.04</v>
      </c>
      <c r="G13" s="20" t="n">
        <f aca="false">Scenarios!F36</f>
        <v>-0.04</v>
      </c>
      <c r="H13" s="20" t="n">
        <f aca="false">Scenarios!F37</f>
        <v>-0.04</v>
      </c>
      <c r="I13" s="20" t="n">
        <f aca="false">Scenarios!F38</f>
        <v>-0.03</v>
      </c>
      <c r="J13" s="20" t="n">
        <f aca="false">Scenarios!F39</f>
        <v>-0.03</v>
      </c>
    </row>
    <row r="14" customFormat="false" ht="15" hidden="false" customHeight="true" outlineLevel="0" collapsed="false">
      <c r="B14" s="11" t="s">
        <v>65</v>
      </c>
      <c r="F14" s="20" t="n">
        <f aca="false">Scenarios!F40</f>
        <v>0.02</v>
      </c>
      <c r="G14" s="20" t="n">
        <f aca="false">Scenarios!F41</f>
        <v>0.03</v>
      </c>
      <c r="H14" s="20" t="n">
        <f aca="false">Scenarios!F42</f>
        <v>0.04</v>
      </c>
      <c r="I14" s="20" t="n">
        <f aca="false">Scenarios!F43</f>
        <v>0.04</v>
      </c>
      <c r="J14" s="20" t="n">
        <f aca="false">Scenarios!F44</f>
        <v>0.04</v>
      </c>
    </row>
    <row r="15" customFormat="false" ht="15" hidden="false" customHeight="true" outlineLevel="0" collapsed="false">
      <c r="B15" s="11" t="s">
        <v>66</v>
      </c>
      <c r="F15" s="20" t="n">
        <f aca="false">Scenarios!F45</f>
        <v>-0.3</v>
      </c>
      <c r="G15" s="20" t="n">
        <f aca="false">Scenarios!F46</f>
        <v>-0.15</v>
      </c>
      <c r="H15" s="20" t="n">
        <f aca="false">Scenarios!F47</f>
        <v>0</v>
      </c>
      <c r="I15" s="20" t="n">
        <f aca="false">Scenarios!F48</f>
        <v>0.05</v>
      </c>
      <c r="J15" s="20" t="n">
        <f aca="false">Scenarios!F49</f>
        <v>0.05</v>
      </c>
    </row>
    <row r="16" customFormat="false" ht="15" hidden="false" customHeight="true" outlineLevel="0" collapsed="false">
      <c r="B16" s="11" t="s">
        <v>67</v>
      </c>
      <c r="F16" s="20" t="n">
        <f aca="false">Scenarios!F50</f>
        <v>-0.15</v>
      </c>
      <c r="G16" s="20" t="n">
        <f aca="false">Scenarios!F51</f>
        <v>-0.05</v>
      </c>
      <c r="H16" s="20" t="n">
        <f aca="false">Scenarios!F52</f>
        <v>0.02</v>
      </c>
      <c r="I16" s="20" t="n">
        <f aca="false">Scenarios!F53</f>
        <v>0.03</v>
      </c>
      <c r="J16" s="20" t="n">
        <f aca="false">Scenarios!F54</f>
        <v>0.03</v>
      </c>
    </row>
    <row r="17" customFormat="false" ht="15" hidden="false" customHeight="true" outlineLevel="0" collapsed="false">
      <c r="B17" s="11" t="s">
        <v>68</v>
      </c>
      <c r="F17" s="20" t="n">
        <f aca="false">Scenarios!F55</f>
        <v>0.61</v>
      </c>
      <c r="G17" s="20" t="n">
        <f aca="false">Scenarios!F56</f>
        <v>0.15</v>
      </c>
      <c r="H17" s="20" t="n">
        <f aca="false">Scenarios!F57</f>
        <v>0.12</v>
      </c>
      <c r="I17" s="20" t="n">
        <f aca="false">Scenarios!F58</f>
        <v>0.1</v>
      </c>
      <c r="J17" s="20" t="n">
        <f aca="false">Scenarios!F59</f>
        <v>0.08</v>
      </c>
    </row>
    <row r="18" customFormat="false" ht="15" hidden="false" customHeight="true" outlineLevel="0" collapsed="false">
      <c r="B18" s="11" t="s">
        <v>69</v>
      </c>
      <c r="F18" s="20" t="n">
        <f aca="false">Scenarios!F60</f>
        <v>0.18</v>
      </c>
      <c r="G18" s="20" t="n">
        <f aca="false">Scenarios!F61</f>
        <v>0.15</v>
      </c>
      <c r="H18" s="20" t="n">
        <f aca="false">Scenarios!F62</f>
        <v>0.13</v>
      </c>
      <c r="I18" s="20" t="n">
        <f aca="false">Scenarios!F63</f>
        <v>0.11</v>
      </c>
      <c r="J18" s="20" t="n">
        <f aca="false">Scenarios!F64</f>
        <v>0.09</v>
      </c>
    </row>
    <row r="19" customFormat="false" ht="15" hidden="false" customHeight="true" outlineLevel="0" collapsed="false">
      <c r="B19" s="11" t="s">
        <v>70</v>
      </c>
      <c r="F19" s="20" t="n">
        <f aca="false">Scenarios!F65</f>
        <v>0.08</v>
      </c>
      <c r="G19" s="20" t="n">
        <f aca="false">Scenarios!F66</f>
        <v>0.08</v>
      </c>
      <c r="H19" s="20" t="n">
        <f aca="false">Scenarios!F67</f>
        <v>0.07</v>
      </c>
      <c r="I19" s="20" t="n">
        <f aca="false">Scenarios!F68</f>
        <v>0.06</v>
      </c>
      <c r="J19" s="20" t="n">
        <f aca="false">Scenarios!F69</f>
        <v>0.06</v>
      </c>
    </row>
    <row r="22" customFormat="false" ht="15" hidden="false" customHeight="true" outlineLevel="0" collapsed="false">
      <c r="B22" s="6" t="s">
        <v>71</v>
      </c>
    </row>
    <row r="24" customFormat="false" ht="15" hidden="false" customHeight="true" outlineLevel="0" collapsed="false">
      <c r="B24" s="11" t="s">
        <v>72</v>
      </c>
      <c r="C24" s="21" t="n">
        <v>0.099</v>
      </c>
      <c r="D24" s="21" t="n">
        <v>0.125</v>
      </c>
      <c r="E24" s="21" t="n">
        <v>0.147</v>
      </c>
      <c r="F24" s="20" t="n">
        <f aca="false">Scenarios!F72</f>
        <v>0.16</v>
      </c>
      <c r="G24" s="20" t="n">
        <f aca="false">Scenarios!F73</f>
        <v>0.17</v>
      </c>
      <c r="H24" s="20" t="n">
        <f aca="false">Scenarios!F74</f>
        <v>0.175</v>
      </c>
      <c r="I24" s="20" t="n">
        <f aca="false">Scenarios!F75</f>
        <v>0.18</v>
      </c>
      <c r="J24" s="20" t="n">
        <f aca="false">Scenarios!F76</f>
        <v>0.18</v>
      </c>
    </row>
    <row r="25" customFormat="false" ht="15" hidden="false" customHeight="true" outlineLevel="0" collapsed="false">
      <c r="B25" s="11" t="s">
        <v>73</v>
      </c>
      <c r="C25" s="21" t="n">
        <v>-0.105</v>
      </c>
      <c r="D25" s="21" t="n">
        <v>-0.061</v>
      </c>
      <c r="E25" s="21" t="n">
        <v>-0.066</v>
      </c>
      <c r="F25" s="20" t="n">
        <f aca="false">Scenarios!F77</f>
        <v>-0.045</v>
      </c>
      <c r="G25" s="20" t="n">
        <f aca="false">Scenarios!F78</f>
        <v>-0.025</v>
      </c>
      <c r="H25" s="20" t="n">
        <f aca="false">Scenarios!F79</f>
        <v>-0.01</v>
      </c>
      <c r="I25" s="20" t="n">
        <f aca="false">Scenarios!F80</f>
        <v>0.005</v>
      </c>
      <c r="J25" s="20" t="n">
        <f aca="false">Scenarios!F81</f>
        <v>0.015</v>
      </c>
    </row>
    <row r="26" customFormat="false" ht="15" hidden="false" customHeight="true" outlineLevel="0" collapsed="false">
      <c r="B26" s="11" t="s">
        <v>74</v>
      </c>
      <c r="C26" s="21" t="n">
        <v>0.037</v>
      </c>
      <c r="D26" s="21" t="n">
        <v>0.09</v>
      </c>
      <c r="E26" s="21" t="n">
        <v>0.149</v>
      </c>
      <c r="F26" s="20" t="n">
        <f aca="false">Scenarios!F82</f>
        <v>0.17</v>
      </c>
      <c r="G26" s="20" t="n">
        <f aca="false">Scenarios!F83</f>
        <v>0.18</v>
      </c>
      <c r="H26" s="20" t="n">
        <f aca="false">Scenarios!F84</f>
        <v>0.185</v>
      </c>
      <c r="I26" s="20" t="n">
        <f aca="false">Scenarios!F85</f>
        <v>0.19</v>
      </c>
      <c r="J26" s="20" t="n">
        <f aca="false">Scenarios!F86</f>
        <v>0.19</v>
      </c>
    </row>
    <row r="27" customFormat="false" ht="15" hidden="false" customHeight="true" outlineLevel="0" collapsed="false">
      <c r="B27" s="11" t="s">
        <v>75</v>
      </c>
      <c r="C27" s="22" t="n">
        <v>-116</v>
      </c>
      <c r="D27" s="22" t="n">
        <v>-323</v>
      </c>
      <c r="E27" s="22" t="n">
        <v>-541</v>
      </c>
      <c r="F27" s="23" t="n">
        <v>-560</v>
      </c>
      <c r="G27" s="23" t="n">
        <v>-580</v>
      </c>
      <c r="H27" s="23" t="n">
        <v>-600</v>
      </c>
      <c r="I27" s="23" t="n">
        <v>-620</v>
      </c>
      <c r="J27" s="23" t="n">
        <v>-640</v>
      </c>
    </row>
    <row r="30" customFormat="false" ht="15" hidden="false" customHeight="true" outlineLevel="0" collapsed="false">
      <c r="B30" s="6" t="s">
        <v>76</v>
      </c>
    </row>
    <row r="32" customFormat="false" ht="15" hidden="false" customHeight="true" outlineLevel="0" collapsed="false">
      <c r="B32" s="11" t="s">
        <v>77</v>
      </c>
      <c r="C32" s="21" t="n">
        <v>0.029</v>
      </c>
      <c r="D32" s="21" t="n">
        <v>0.034</v>
      </c>
      <c r="E32" s="21" t="n">
        <v>0.022</v>
      </c>
      <c r="F32" s="24" t="n">
        <v>0.028</v>
      </c>
      <c r="G32" s="24" t="n">
        <v>0.027</v>
      </c>
      <c r="H32" s="24" t="n">
        <v>0.026</v>
      </c>
      <c r="I32" s="24" t="n">
        <v>0.025</v>
      </c>
      <c r="J32" s="24" t="n">
        <v>0.025</v>
      </c>
    </row>
    <row r="33" customFormat="false" ht="15" hidden="false" customHeight="true" outlineLevel="0" collapsed="false">
      <c r="B33" s="11" t="s">
        <v>78</v>
      </c>
      <c r="C33" s="22" t="n">
        <v>0</v>
      </c>
      <c r="D33" s="22" t="n">
        <v>155</v>
      </c>
      <c r="E33" s="22" t="n">
        <v>257</v>
      </c>
      <c r="F33" s="23" t="n">
        <v>290</v>
      </c>
      <c r="G33" s="23" t="n">
        <v>310</v>
      </c>
      <c r="H33" s="23" t="n">
        <v>330</v>
      </c>
      <c r="I33" s="23" t="n">
        <v>350</v>
      </c>
      <c r="J33" s="23" t="n">
        <v>370</v>
      </c>
    </row>
    <row r="34" customFormat="false" ht="15" hidden="false" customHeight="true" outlineLevel="0" collapsed="false">
      <c r="B34" s="11" t="s">
        <v>79</v>
      </c>
      <c r="C34" s="22" t="n">
        <v>567</v>
      </c>
      <c r="D34" s="22" t="n">
        <v>536</v>
      </c>
      <c r="E34" s="22" t="n">
        <v>459</v>
      </c>
      <c r="F34" s="23" t="n">
        <v>500</v>
      </c>
      <c r="G34" s="23" t="n">
        <v>510</v>
      </c>
      <c r="H34" s="23" t="n">
        <v>520</v>
      </c>
      <c r="I34" s="23" t="n">
        <v>530</v>
      </c>
      <c r="J34" s="23" t="n">
        <v>540</v>
      </c>
    </row>
    <row r="35" customFormat="false" ht="15" hidden="false" customHeight="true" outlineLevel="0" collapsed="false">
      <c r="B35" s="11" t="s">
        <v>80</v>
      </c>
      <c r="C35" s="21" t="n">
        <v>0.264</v>
      </c>
      <c r="D35" s="21" t="n">
        <v>0.376</v>
      </c>
      <c r="E35" s="21" t="n">
        <v>0.27</v>
      </c>
      <c r="F35" s="24" t="n">
        <v>0.25</v>
      </c>
      <c r="G35" s="24" t="n">
        <v>0.25</v>
      </c>
      <c r="H35" s="24" t="n">
        <v>0.25</v>
      </c>
      <c r="I35" s="24" t="n">
        <v>0.25</v>
      </c>
      <c r="J35" s="24" t="n">
        <v>0.25</v>
      </c>
    </row>
    <row r="36" customFormat="false" ht="15" hidden="false" customHeight="true" outlineLevel="0" collapsed="false">
      <c r="B36" s="11" t="s">
        <v>81</v>
      </c>
      <c r="C36" s="22" t="n">
        <v>433</v>
      </c>
      <c r="D36" s="22" t="n">
        <v>421</v>
      </c>
      <c r="E36" s="22" t="n">
        <v>285</v>
      </c>
      <c r="F36" s="23" t="n">
        <v>150</v>
      </c>
      <c r="G36" s="23" t="n">
        <v>100</v>
      </c>
      <c r="H36" s="23" t="n">
        <v>75</v>
      </c>
      <c r="I36" s="23" t="n">
        <v>50</v>
      </c>
      <c r="J36" s="23" t="n">
        <v>50</v>
      </c>
    </row>
    <row r="39" customFormat="false" ht="15" hidden="false" customHeight="true" outlineLevel="0" collapsed="false">
      <c r="B39" s="6" t="s">
        <v>82</v>
      </c>
    </row>
    <row r="41" customFormat="false" ht="15" hidden="false" customHeight="true" outlineLevel="0" collapsed="false">
      <c r="B41" s="11" t="s">
        <v>83</v>
      </c>
      <c r="C41" s="21" t="n">
        <v>0.022</v>
      </c>
      <c r="D41" s="21" t="n">
        <v>0.025</v>
      </c>
      <c r="E41" s="21" t="n">
        <v>0.033</v>
      </c>
      <c r="F41" s="24" t="n">
        <v>0.0375</v>
      </c>
      <c r="G41" s="24" t="n">
        <v>0.034</v>
      </c>
      <c r="H41" s="24" t="n">
        <v>0.031</v>
      </c>
      <c r="I41" s="24" t="n">
        <v>0.029</v>
      </c>
      <c r="J41" s="24" t="n">
        <v>0.0275</v>
      </c>
    </row>
    <row r="42" customFormat="false" ht="15" hidden="false" customHeight="true" outlineLevel="0" collapsed="false">
      <c r="B42" s="11" t="s">
        <v>84</v>
      </c>
      <c r="F42" s="24" t="n">
        <v>-0.3</v>
      </c>
      <c r="G42" s="24" t="n">
        <v>-0.15</v>
      </c>
      <c r="H42" s="24" t="n">
        <v>-0.05</v>
      </c>
      <c r="I42" s="24" t="n">
        <v>0</v>
      </c>
      <c r="J42" s="24" t="n">
        <v>0.05</v>
      </c>
    </row>
    <row r="45" customFormat="false" ht="15" hidden="false" customHeight="true" outlineLevel="0" collapsed="false">
      <c r="B45" s="6" t="s">
        <v>85</v>
      </c>
    </row>
    <row r="47" customFormat="false" ht="15" hidden="false" customHeight="true" outlineLevel="0" collapsed="false">
      <c r="B47" s="11" t="s">
        <v>86</v>
      </c>
      <c r="C47" s="24" t="n">
        <v>0.043</v>
      </c>
      <c r="D47" s="17" t="s">
        <v>87</v>
      </c>
    </row>
    <row r="48" customFormat="false" ht="15" hidden="false" customHeight="true" outlineLevel="0" collapsed="false">
      <c r="B48" s="11" t="s">
        <v>88</v>
      </c>
      <c r="C48" s="24" t="n">
        <v>0.055</v>
      </c>
      <c r="D48" s="17" t="s">
        <v>89</v>
      </c>
    </row>
    <row r="49" customFormat="false" ht="15" hidden="false" customHeight="true" outlineLevel="0" collapsed="false">
      <c r="B49" s="11" t="s">
        <v>90</v>
      </c>
      <c r="C49" s="25" t="n">
        <f aca="false">Scenarios!F89</f>
        <v>1.3</v>
      </c>
      <c r="D49" s="17" t="s">
        <v>91</v>
      </c>
    </row>
    <row r="50" customFormat="false" ht="15" hidden="false" customHeight="true" outlineLevel="0" collapsed="false">
      <c r="B50" s="11" t="s">
        <v>92</v>
      </c>
      <c r="C50" s="26" t="n">
        <f aca="false">C47 + C49 * C48</f>
        <v>0.1145</v>
      </c>
      <c r="D50" s="17" t="s">
        <v>93</v>
      </c>
    </row>
    <row r="51" customFormat="false" ht="15" hidden="false" customHeight="true" outlineLevel="0" collapsed="false">
      <c r="B51" s="11" t="s">
        <v>94</v>
      </c>
      <c r="C51" s="24" t="n">
        <v>0.055</v>
      </c>
      <c r="D51" s="17" t="s">
        <v>95</v>
      </c>
    </row>
    <row r="52" customFormat="false" ht="15" hidden="false" customHeight="true" outlineLevel="0" collapsed="false">
      <c r="B52" s="11" t="s">
        <v>96</v>
      </c>
      <c r="C52" s="24" t="n">
        <v>0.25</v>
      </c>
      <c r="D52" s="17"/>
    </row>
    <row r="53" customFormat="false" ht="15" hidden="false" customHeight="true" outlineLevel="0" collapsed="false">
      <c r="B53" s="11" t="s">
        <v>97</v>
      </c>
      <c r="C53" s="26" t="n">
        <f aca="false">C51 * (1 - C52)</f>
        <v>0.04125</v>
      </c>
      <c r="D53" s="17" t="s">
        <v>98</v>
      </c>
    </row>
    <row r="54" customFormat="false" ht="15" hidden="false" customHeight="true" outlineLevel="0" collapsed="false">
      <c r="B54" s="11" t="s">
        <v>99</v>
      </c>
      <c r="C54" s="24" t="n">
        <v>0.02</v>
      </c>
      <c r="D54" s="17" t="s">
        <v>100</v>
      </c>
    </row>
    <row r="55" customFormat="false" ht="15" hidden="false" customHeight="true" outlineLevel="0" collapsed="false">
      <c r="B55" s="11" t="s">
        <v>101</v>
      </c>
      <c r="C55" s="26" t="n">
        <f aca="false">1 - C54</f>
        <v>0.98</v>
      </c>
      <c r="D55" s="17" t="s">
        <v>102</v>
      </c>
    </row>
    <row r="56" customFormat="false" ht="15" hidden="false" customHeight="true" outlineLevel="0" collapsed="false">
      <c r="B56" s="11" t="s">
        <v>103</v>
      </c>
      <c r="C56" s="27" t="n">
        <f aca="false">C50*C55 + C53*C54</f>
        <v>0.113035</v>
      </c>
      <c r="D56" s="17" t="s">
        <v>104</v>
      </c>
    </row>
    <row r="57" customFormat="false" ht="15" hidden="false" customHeight="true" outlineLevel="0" collapsed="false">
      <c r="B57" s="11"/>
      <c r="D57" s="17"/>
    </row>
    <row r="58" customFormat="false" ht="15" hidden="false" customHeight="true" outlineLevel="0" collapsed="false">
      <c r="B58" s="11" t="s">
        <v>105</v>
      </c>
      <c r="C58" s="20" t="n">
        <f aca="false">Scenarios!F90</f>
        <v>0.025</v>
      </c>
      <c r="D58" s="17" t="s">
        <v>106</v>
      </c>
    </row>
    <row r="59" customFormat="false" ht="15" hidden="false" customHeight="true" outlineLevel="0" collapsed="false">
      <c r="B59" s="11" t="s">
        <v>107</v>
      </c>
      <c r="C59" s="28" t="n">
        <v>18</v>
      </c>
      <c r="D59" s="17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2"/>
    <col collapsed="false" customWidth="true" hidden="false" outlineLevel="0" max="10" min="3" style="1" width="13"/>
    <col collapsed="false" customWidth="true" hidden="false" outlineLevel="0" max="11" min="11" style="1" width="14"/>
  </cols>
  <sheetData>
    <row r="2" customFormat="false" ht="17.25" hidden="false" customHeight="true" outlineLevel="0" collapsed="false">
      <c r="B2" s="16" t="s">
        <v>109</v>
      </c>
    </row>
    <row r="3" customFormat="false" ht="15" hidden="false" customHeight="true" outlineLevel="0" collapsed="false">
      <c r="B3" s="17" t="s">
        <v>110</v>
      </c>
    </row>
    <row r="5" customFormat="false" ht="15" hidden="false" customHeight="true" outlineLevel="0" collapsed="false">
      <c r="B5" s="18" t="s">
        <v>51</v>
      </c>
      <c r="C5" s="29" t="s">
        <v>52</v>
      </c>
      <c r="D5" s="29" t="s">
        <v>53</v>
      </c>
      <c r="E5" s="29" t="s">
        <v>54</v>
      </c>
      <c r="F5" s="29" t="s">
        <v>55</v>
      </c>
      <c r="G5" s="29" t="s">
        <v>56</v>
      </c>
      <c r="H5" s="29" t="s">
        <v>57</v>
      </c>
      <c r="I5" s="29" t="s">
        <v>58</v>
      </c>
      <c r="J5" s="29" t="s">
        <v>59</v>
      </c>
    </row>
    <row r="7" customFormat="false" ht="15" hidden="false" customHeight="true" outlineLevel="0" collapsed="false">
      <c r="B7" s="6" t="s">
        <v>111</v>
      </c>
    </row>
    <row r="9" customFormat="false" ht="15" hidden="false" customHeight="true" outlineLevel="0" collapsed="false">
      <c r="B9" s="11" t="s">
        <v>61</v>
      </c>
      <c r="C9" s="30" t="n">
        <f aca="false">Historicals!C9</f>
        <v>13220</v>
      </c>
      <c r="D9" s="30" t="n">
        <f aca="false">Historicals!D9</f>
        <v>14465</v>
      </c>
      <c r="E9" s="30" t="n">
        <f aca="false">Historicals!E9</f>
        <v>16006</v>
      </c>
      <c r="F9" s="31" t="n">
        <f aca="false">E9*(1+Assumptions!F10)</f>
        <v>18406.9</v>
      </c>
      <c r="G9" s="31" t="n">
        <f aca="false">F9*(1+Assumptions!G10)</f>
        <v>20799.797</v>
      </c>
      <c r="H9" s="31" t="n">
        <f aca="false">G9*(1+Assumptions!H10)</f>
        <v>23087.77467</v>
      </c>
      <c r="I9" s="31" t="n">
        <f aca="false">H9*(1+Assumptions!I10)</f>
        <v>25165.6743903</v>
      </c>
      <c r="J9" s="31" t="n">
        <f aca="false">I9*(1+Assumptions!J10)</f>
        <v>26927.271597621</v>
      </c>
    </row>
    <row r="10" customFormat="false" ht="15" hidden="false" customHeight="true" outlineLevel="0" collapsed="false">
      <c r="B10" s="11" t="s">
        <v>62</v>
      </c>
      <c r="C10" s="30" t="n">
        <f aca="false">Historicals!C10</f>
        <v>827</v>
      </c>
      <c r="D10" s="30" t="n">
        <f aca="false">Historicals!D10</f>
        <v>819</v>
      </c>
      <c r="E10" s="30" t="n">
        <f aca="false">Historicals!E10</f>
        <v>1018</v>
      </c>
      <c r="F10" s="31" t="n">
        <f aca="false">E10*(1+Assumptions!F11)</f>
        <v>1170.7</v>
      </c>
      <c r="G10" s="31" t="n">
        <f aca="false">F10*(1+Assumptions!G11)</f>
        <v>1346.305</v>
      </c>
      <c r="H10" s="31" t="n">
        <f aca="false">G10*(1+Assumptions!H11)</f>
        <v>1534.7877</v>
      </c>
      <c r="I10" s="31" t="n">
        <f aca="false">H10*(1+Assumptions!I11)</f>
        <v>1718.962224</v>
      </c>
      <c r="J10" s="31" t="n">
        <f aca="false">I10*(1+Assumptions!J11)</f>
        <v>1890.8584464</v>
      </c>
    </row>
    <row r="11" customFormat="false" ht="15" hidden="false" customHeight="true" outlineLevel="0" collapsed="false">
      <c r="B11" s="11" t="s">
        <v>63</v>
      </c>
      <c r="C11" s="30" t="n">
        <f aca="false">Historicals!C11</f>
        <v>887</v>
      </c>
      <c r="D11" s="30" t="n">
        <f aca="false">Historicals!D11</f>
        <v>781</v>
      </c>
      <c r="E11" s="30" t="n">
        <f aca="false">Historicals!E11</f>
        <v>806</v>
      </c>
      <c r="F11" s="31" t="n">
        <f aca="false">E11*(1+Assumptions!F12)</f>
        <v>830.18</v>
      </c>
      <c r="G11" s="31" t="n">
        <f aca="false">F11*(1+Assumptions!G12)</f>
        <v>855.0854</v>
      </c>
      <c r="H11" s="31" t="n">
        <f aca="false">G11*(1+Assumptions!H12)</f>
        <v>880.737962</v>
      </c>
      <c r="I11" s="31" t="n">
        <f aca="false">H11*(1+Assumptions!I12)</f>
        <v>907.16010086</v>
      </c>
      <c r="J11" s="31" t="n">
        <f aca="false">I11*(1+Assumptions!J12)</f>
        <v>934.3749038858</v>
      </c>
    </row>
    <row r="12" customFormat="false" ht="15" hidden="false" customHeight="true" outlineLevel="0" collapsed="false">
      <c r="B12" s="11" t="s">
        <v>64</v>
      </c>
      <c r="C12" s="30" t="n">
        <f aca="false">Historicals!C12</f>
        <v>2502</v>
      </c>
      <c r="D12" s="30" t="n">
        <f aca="false">Historicals!D12</f>
        <v>2063</v>
      </c>
      <c r="E12" s="30" t="n">
        <f aca="false">Historicals!E12</f>
        <v>1937</v>
      </c>
      <c r="F12" s="31" t="n">
        <f aca="false">E12*(1+Assumptions!F13)</f>
        <v>1859.52</v>
      </c>
      <c r="G12" s="31" t="n">
        <f aca="false">F12*(1+Assumptions!G13)</f>
        <v>1785.1392</v>
      </c>
      <c r="H12" s="31" t="n">
        <f aca="false">G12*(1+Assumptions!H13)</f>
        <v>1713.733632</v>
      </c>
      <c r="I12" s="31" t="n">
        <f aca="false">H12*(1+Assumptions!I13)</f>
        <v>1662.32162304</v>
      </c>
      <c r="J12" s="31" t="n">
        <f aca="false">I12*(1+Assumptions!J13)</f>
        <v>1612.4519743488</v>
      </c>
    </row>
    <row r="13" customFormat="false" ht="15" hidden="false" customHeight="true" outlineLevel="0" collapsed="false">
      <c r="B13" s="11" t="s">
        <v>65</v>
      </c>
      <c r="C13" s="30" t="n">
        <f aca="false">Historicals!C14</f>
        <v>7761</v>
      </c>
      <c r="D13" s="30" t="n">
        <f aca="false">Historicals!D14</f>
        <v>7781</v>
      </c>
      <c r="E13" s="30" t="n">
        <f aca="false">Historicals!E14</f>
        <v>8241</v>
      </c>
      <c r="F13" s="31" t="n">
        <f aca="false">E13*(1+Assumptions!F14)</f>
        <v>8405.82</v>
      </c>
      <c r="G13" s="31" t="n">
        <f aca="false">F13*(1+Assumptions!G14)</f>
        <v>8657.9946</v>
      </c>
      <c r="H13" s="31" t="n">
        <f aca="false">G13*(1+Assumptions!H14)</f>
        <v>9004.314384</v>
      </c>
      <c r="I13" s="31" t="n">
        <f aca="false">H13*(1+Assumptions!I14)</f>
        <v>9364.48695936</v>
      </c>
      <c r="J13" s="31" t="n">
        <f aca="false">I13*(1+Assumptions!J14)</f>
        <v>9739.0664377344</v>
      </c>
    </row>
    <row r="14" customFormat="false" ht="15" hidden="false" customHeight="true" outlineLevel="0" collapsed="false">
      <c r="B14" s="11" t="s">
        <v>66</v>
      </c>
      <c r="C14" s="30" t="n">
        <f aca="false">Historicals!C15</f>
        <v>1455</v>
      </c>
      <c r="D14" s="30" t="n">
        <f aca="false">Historicals!D15</f>
        <v>1377</v>
      </c>
      <c r="E14" s="30" t="n">
        <f aca="false">Historicals!E15</f>
        <v>652</v>
      </c>
      <c r="F14" s="31" t="n">
        <f aca="false">E14*(1+Assumptions!F15)</f>
        <v>456.4</v>
      </c>
      <c r="G14" s="31" t="n">
        <f aca="false">F14*(1+Assumptions!G15)</f>
        <v>387.94</v>
      </c>
      <c r="H14" s="31" t="n">
        <f aca="false">G14*(1+Assumptions!H15)</f>
        <v>387.94</v>
      </c>
      <c r="I14" s="31" t="n">
        <f aca="false">H14*(1+Assumptions!I15)</f>
        <v>407.337</v>
      </c>
      <c r="J14" s="31" t="n">
        <f aca="false">I14*(1+Assumptions!J15)</f>
        <v>427.70385</v>
      </c>
    </row>
    <row r="15" customFormat="false" ht="15" hidden="false" customHeight="true" outlineLevel="0" collapsed="false">
      <c r="B15" s="11" t="s">
        <v>67</v>
      </c>
      <c r="C15" s="30" t="n">
        <f aca="false">Historicals!C16</f>
        <v>610</v>
      </c>
      <c r="D15" s="30" t="n">
        <f aca="false">Historicals!D16</f>
        <v>542</v>
      </c>
      <c r="E15" s="30" t="n">
        <f aca="false">Historicals!E16</f>
        <v>217</v>
      </c>
      <c r="F15" s="31" t="n">
        <f aca="false">E15*(1+Assumptions!F16)</f>
        <v>184.45</v>
      </c>
      <c r="G15" s="31" t="n">
        <f aca="false">F15*(1+Assumptions!G16)</f>
        <v>175.2275</v>
      </c>
      <c r="H15" s="31" t="n">
        <f aca="false">G15*(1+Assumptions!H16)</f>
        <v>178.73205</v>
      </c>
      <c r="I15" s="31" t="n">
        <f aca="false">H15*(1+Assumptions!I16)</f>
        <v>184.0940115</v>
      </c>
      <c r="J15" s="31" t="n">
        <f aca="false">I15*(1+Assumptions!J16)</f>
        <v>189.616831845</v>
      </c>
    </row>
    <row r="16" customFormat="false" ht="15" hidden="false" customHeight="true" outlineLevel="0" collapsed="false">
      <c r="B16" s="11" t="s">
        <v>68</v>
      </c>
      <c r="C16" s="30" t="n">
        <f aca="false">Historicals!C18</f>
        <v>3955</v>
      </c>
      <c r="D16" s="30" t="n">
        <f aca="false">Historicals!D18</f>
        <v>4957</v>
      </c>
      <c r="E16" s="30" t="n">
        <f aca="false">Historicals!E18</f>
        <v>6620</v>
      </c>
      <c r="F16" s="31" t="n">
        <f aca="false">E16*(1+Assumptions!F17)</f>
        <v>10658.2</v>
      </c>
      <c r="G16" s="31" t="n">
        <f aca="false">F16*(1+Assumptions!G17)</f>
        <v>12256.93</v>
      </c>
      <c r="H16" s="31" t="n">
        <f aca="false">G16*(1+Assumptions!H17)</f>
        <v>13727.7616</v>
      </c>
      <c r="I16" s="31" t="n">
        <f aca="false">H16*(1+Assumptions!I17)</f>
        <v>15100.53776</v>
      </c>
      <c r="J16" s="31" t="n">
        <f aca="false">I16*(1+Assumptions!J17)</f>
        <v>16308.5807808</v>
      </c>
    </row>
    <row r="17" customFormat="false" ht="15" hidden="false" customHeight="true" outlineLevel="0" collapsed="false">
      <c r="B17" s="11" t="s">
        <v>69</v>
      </c>
      <c r="C17" s="30" t="n">
        <f aca="false">Historicals!C19</f>
        <v>1548</v>
      </c>
      <c r="D17" s="30" t="n">
        <f aca="false">Historicals!D19</f>
        <v>1676</v>
      </c>
      <c r="E17" s="30" t="n">
        <f aca="false">Historicals!E19</f>
        <v>2049</v>
      </c>
      <c r="F17" s="31" t="n">
        <f aca="false">E17*(1+Assumptions!F18)</f>
        <v>2417.82</v>
      </c>
      <c r="G17" s="31" t="n">
        <f aca="false">F17*(1+Assumptions!G18)</f>
        <v>2780.493</v>
      </c>
      <c r="H17" s="31" t="n">
        <f aca="false">G17*(1+Assumptions!H18)</f>
        <v>3141.95709</v>
      </c>
      <c r="I17" s="31" t="n">
        <f aca="false">H17*(1+Assumptions!I18)</f>
        <v>3487.5723699</v>
      </c>
      <c r="J17" s="31" t="n">
        <f aca="false">I17*(1+Assumptions!J18)</f>
        <v>3801.453883191</v>
      </c>
    </row>
    <row r="18" customFormat="false" ht="15" hidden="false" customHeight="true" outlineLevel="0" collapsed="false">
      <c r="B18" s="11" t="s">
        <v>70</v>
      </c>
      <c r="C18" s="30" t="n">
        <f aca="false">Historicals!C20</f>
        <v>874</v>
      </c>
      <c r="D18" s="30" t="n">
        <f aca="false">Historicals!D20</f>
        <v>917</v>
      </c>
      <c r="E18" s="30" t="n">
        <f aca="false">Historicals!E20</f>
        <v>973</v>
      </c>
      <c r="F18" s="31" t="n">
        <f aca="false">E18*(1+Assumptions!F19)</f>
        <v>1050.84</v>
      </c>
      <c r="G18" s="31" t="n">
        <f aca="false">F18*(1+Assumptions!G19)</f>
        <v>1134.9072</v>
      </c>
      <c r="H18" s="31" t="n">
        <f aca="false">G18*(1+Assumptions!H19)</f>
        <v>1214.350704</v>
      </c>
      <c r="I18" s="31" t="n">
        <f aca="false">H18*(1+Assumptions!I19)</f>
        <v>1287.21174624</v>
      </c>
      <c r="J18" s="31" t="n">
        <f aca="false">I18*(1+Assumptions!J19)</f>
        <v>1364.4444510144</v>
      </c>
    </row>
    <row r="20" customFormat="false" ht="15" hidden="false" customHeight="true" outlineLevel="0" collapsed="false">
      <c r="B20" s="32" t="s">
        <v>112</v>
      </c>
      <c r="C20" s="33" t="n">
        <f aca="false">C9+C10+C11+C12</f>
        <v>17436</v>
      </c>
      <c r="D20" s="33" t="n">
        <f aca="false">D9+D10+D11+D12</f>
        <v>18128</v>
      </c>
      <c r="E20" s="33" t="n">
        <f aca="false">E9+E10+E11+E12</f>
        <v>19767</v>
      </c>
      <c r="F20" s="33" t="n">
        <f aca="false">F9+F10+F11+F12</f>
        <v>22267.3</v>
      </c>
      <c r="G20" s="33" t="n">
        <f aca="false">G9+G10+G11+G12</f>
        <v>24786.3266</v>
      </c>
      <c r="H20" s="33" t="n">
        <f aca="false">H9+H10+H11+H12</f>
        <v>27217.033964</v>
      </c>
      <c r="I20" s="33" t="n">
        <f aca="false">I9+I10+I11+I12</f>
        <v>29454.1183382</v>
      </c>
      <c r="J20" s="33" t="n">
        <f aca="false">J9+J10+J11+J12</f>
        <v>31364.9569222556</v>
      </c>
    </row>
    <row r="22" customFormat="false" ht="15" hidden="false" customHeight="true" outlineLevel="0" collapsed="false">
      <c r="B22" s="32" t="s">
        <v>113</v>
      </c>
      <c r="C22" s="33" t="n">
        <f aca="false">C13+C14+C15</f>
        <v>9826</v>
      </c>
      <c r="D22" s="33" t="n">
        <f aca="false">D13+D14+D15</f>
        <v>9700</v>
      </c>
      <c r="E22" s="33" t="n">
        <f aca="false">E13+E14+E15</f>
        <v>9110</v>
      </c>
      <c r="F22" s="33" t="n">
        <f aca="false">F13+F14+F15</f>
        <v>9046.67</v>
      </c>
      <c r="G22" s="33" t="n">
        <f aca="false">G13+G14+G15</f>
        <v>9221.1621</v>
      </c>
      <c r="H22" s="33" t="n">
        <f aca="false">H13+H14+H15</f>
        <v>9570.986434</v>
      </c>
      <c r="I22" s="33" t="n">
        <f aca="false">I13+I14+I15</f>
        <v>9955.91797086</v>
      </c>
      <c r="J22" s="33" t="n">
        <f aca="false">J13+J14+J15</f>
        <v>10356.3871195794</v>
      </c>
    </row>
    <row r="24" customFormat="false" ht="15" hidden="false" customHeight="true" outlineLevel="0" collapsed="false">
      <c r="B24" s="32" t="s">
        <v>114</v>
      </c>
      <c r="C24" s="33" t="n">
        <f aca="false">C16+C17+C18</f>
        <v>6377</v>
      </c>
      <c r="D24" s="33" t="n">
        <f aca="false">D16+D17+D18</f>
        <v>7550</v>
      </c>
      <c r="E24" s="33" t="n">
        <f aca="false">E16+E17+E18</f>
        <v>9642</v>
      </c>
      <c r="F24" s="33" t="n">
        <f aca="false">F16+F17+F18</f>
        <v>14126.86</v>
      </c>
      <c r="G24" s="33" t="n">
        <f aca="false">G16+G17+G18</f>
        <v>16172.3302</v>
      </c>
      <c r="H24" s="33" t="n">
        <f aca="false">H16+H17+H18</f>
        <v>18084.069394</v>
      </c>
      <c r="I24" s="33" t="n">
        <f aca="false">I16+I17+I18</f>
        <v>19875.32187614</v>
      </c>
      <c r="J24" s="33" t="n">
        <f aca="false">J16+J17+J18</f>
        <v>21474.4791150054</v>
      </c>
    </row>
    <row r="26" customFormat="false" ht="15" hidden="false" customHeight="true" outlineLevel="0" collapsed="false">
      <c r="B26" s="11" t="s">
        <v>115</v>
      </c>
      <c r="C26" s="30" t="n">
        <f aca="false">Historicals!C22</f>
        <v>-401</v>
      </c>
      <c r="D26" s="30" t="n">
        <f aca="false">Historicals!D22</f>
        <v>-442</v>
      </c>
      <c r="E26" s="30" t="n">
        <f aca="false">Historicals!E22</f>
        <v>-451</v>
      </c>
      <c r="F26" s="31" t="n">
        <f aca="false">E26</f>
        <v>-451</v>
      </c>
      <c r="G26" s="31" t="n">
        <f aca="false">F26</f>
        <v>-451</v>
      </c>
      <c r="H26" s="31" t="n">
        <f aca="false">G26</f>
        <v>-451</v>
      </c>
      <c r="I26" s="31" t="n">
        <f aca="false">H26</f>
        <v>-451</v>
      </c>
      <c r="J26" s="31" t="n">
        <f aca="false">I26</f>
        <v>-451</v>
      </c>
    </row>
    <row r="28" customFormat="false" ht="15" hidden="false" customHeight="true" outlineLevel="0" collapsed="false">
      <c r="B28" s="34" t="s">
        <v>116</v>
      </c>
      <c r="C28" s="35" t="n">
        <f aca="false">C20+C22+C24+C26</f>
        <v>33238</v>
      </c>
      <c r="D28" s="35" t="n">
        <f aca="false">D20+D22+D24+D26</f>
        <v>34936</v>
      </c>
      <c r="E28" s="35" t="n">
        <f aca="false">E20+E22+E24+E26</f>
        <v>38068</v>
      </c>
      <c r="F28" s="35" t="n">
        <f aca="false">F20+F22+F24+F26</f>
        <v>44989.83</v>
      </c>
      <c r="G28" s="35" t="n">
        <f aca="false">G20+G22+G24+G26</f>
        <v>49728.8189</v>
      </c>
      <c r="H28" s="35" t="n">
        <f aca="false">H20+H22+H24+H26</f>
        <v>54421.089792</v>
      </c>
      <c r="I28" s="35" t="n">
        <f aca="false">I20+I22+I24+I26</f>
        <v>58834.3581852</v>
      </c>
      <c r="J28" s="35" t="n">
        <f aca="false">J20+J22+J24+J26</f>
        <v>62744.8231568404</v>
      </c>
    </row>
    <row r="30" customFormat="false" ht="15" hidden="false" customHeight="true" outlineLevel="0" collapsed="false">
      <c r="B30" s="17" t="s">
        <v>117</v>
      </c>
      <c r="D30" s="26" t="n">
        <f aca="false">D28/C28-1</f>
        <v>0.0510861062639147</v>
      </c>
      <c r="E30" s="26" t="n">
        <f aca="false">E28/D28-1</f>
        <v>0.0896496450652622</v>
      </c>
      <c r="F30" s="26" t="n">
        <f aca="false">F28/E28-1</f>
        <v>0.181828044551855</v>
      </c>
      <c r="G30" s="26" t="n">
        <f aca="false">G28/F28-1</f>
        <v>0.105334670079883</v>
      </c>
      <c r="H30" s="26" t="n">
        <f aca="false">H28/G28-1</f>
        <v>0.0943571754928607</v>
      </c>
      <c r="I30" s="26" t="n">
        <f aca="false">I28/H28-1</f>
        <v>0.0810948183887483</v>
      </c>
      <c r="J30" s="26" t="n">
        <f aca="false">J28/I28-1</f>
        <v>0.0664656689094996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2"/>
    <col collapsed="false" customWidth="true" hidden="false" outlineLevel="0" max="10" min="3" style="1" width="13"/>
    <col collapsed="false" customWidth="true" hidden="false" outlineLevel="0" max="11" min="11" style="1" width="14"/>
  </cols>
  <sheetData>
    <row r="2" customFormat="false" ht="17.25" hidden="false" customHeight="true" outlineLevel="0" collapsed="false">
      <c r="B2" s="16" t="s">
        <v>118</v>
      </c>
    </row>
    <row r="3" customFormat="false" ht="15" hidden="false" customHeight="true" outlineLevel="0" collapsed="false">
      <c r="B3" s="17" t="s">
        <v>119</v>
      </c>
    </row>
    <row r="5" customFormat="false" ht="15" hidden="false" customHeight="true" outlineLevel="0" collapsed="false">
      <c r="B5" s="18" t="s">
        <v>51</v>
      </c>
      <c r="C5" s="29" t="s">
        <v>52</v>
      </c>
      <c r="D5" s="29" t="s">
        <v>53</v>
      </c>
      <c r="E5" s="29" t="s">
        <v>54</v>
      </c>
      <c r="F5" s="29" t="s">
        <v>55</v>
      </c>
      <c r="G5" s="29" t="s">
        <v>56</v>
      </c>
      <c r="H5" s="29" t="s">
        <v>57</v>
      </c>
      <c r="I5" s="29" t="s">
        <v>58</v>
      </c>
      <c r="J5" s="29" t="s">
        <v>59</v>
      </c>
    </row>
    <row r="7" customFormat="false" ht="15" hidden="false" customHeight="true" outlineLevel="0" collapsed="false">
      <c r="B7" s="6" t="s">
        <v>120</v>
      </c>
    </row>
    <row r="9" customFormat="false" ht="15" hidden="false" customHeight="true" outlineLevel="0" collapsed="false">
      <c r="B9" s="11" t="s">
        <v>121</v>
      </c>
      <c r="C9" s="30" t="n">
        <f aca="false">Revenue!C20</f>
        <v>17436</v>
      </c>
      <c r="D9" s="30" t="n">
        <f aca="false">Revenue!D20</f>
        <v>18128</v>
      </c>
      <c r="E9" s="30" t="n">
        <f aca="false">Revenue!E20</f>
        <v>19767</v>
      </c>
      <c r="F9" s="30" t="n">
        <f aca="false">Revenue!F20</f>
        <v>22267.3</v>
      </c>
      <c r="G9" s="30" t="n">
        <f aca="false">Revenue!G20</f>
        <v>24786.3266</v>
      </c>
      <c r="H9" s="30" t="n">
        <f aca="false">Revenue!H20</f>
        <v>27217.033964</v>
      </c>
      <c r="I9" s="30" t="n">
        <f aca="false">Revenue!I20</f>
        <v>29454.1183382</v>
      </c>
      <c r="J9" s="30" t="n">
        <f aca="false">Revenue!J20</f>
        <v>31364.9569222556</v>
      </c>
    </row>
    <row r="10" customFormat="false" ht="15" hidden="false" customHeight="true" outlineLevel="0" collapsed="false">
      <c r="B10" s="11" t="s">
        <v>122</v>
      </c>
      <c r="C10" s="30" t="n">
        <f aca="false">Revenue!C22</f>
        <v>9826</v>
      </c>
      <c r="D10" s="30" t="n">
        <f aca="false">Revenue!D22</f>
        <v>9700</v>
      </c>
      <c r="E10" s="30" t="n">
        <f aca="false">Revenue!E22</f>
        <v>9110</v>
      </c>
      <c r="F10" s="30" t="n">
        <f aca="false">Revenue!F22</f>
        <v>9046.67</v>
      </c>
      <c r="G10" s="30" t="n">
        <f aca="false">Revenue!G22</f>
        <v>9221.1621</v>
      </c>
      <c r="H10" s="30" t="n">
        <f aca="false">Revenue!H22</f>
        <v>9570.986434</v>
      </c>
      <c r="I10" s="30" t="n">
        <f aca="false">Revenue!I22</f>
        <v>9955.91797086</v>
      </c>
      <c r="J10" s="30" t="n">
        <f aca="false">Revenue!J22</f>
        <v>10356.3871195794</v>
      </c>
    </row>
    <row r="11" customFormat="false" ht="15" hidden="false" customHeight="true" outlineLevel="0" collapsed="false">
      <c r="B11" s="11" t="s">
        <v>123</v>
      </c>
      <c r="C11" s="30" t="n">
        <f aca="false">Revenue!C24</f>
        <v>6377</v>
      </c>
      <c r="D11" s="30" t="n">
        <f aca="false">Revenue!D24</f>
        <v>7550</v>
      </c>
      <c r="E11" s="30" t="n">
        <f aca="false">Revenue!E24</f>
        <v>9642</v>
      </c>
      <c r="F11" s="30" t="n">
        <f aca="false">Revenue!F24</f>
        <v>14126.86</v>
      </c>
      <c r="G11" s="30" t="n">
        <f aca="false">Revenue!G24</f>
        <v>16172.3302</v>
      </c>
      <c r="H11" s="30" t="n">
        <f aca="false">Revenue!H24</f>
        <v>18084.069394</v>
      </c>
      <c r="I11" s="30" t="n">
        <f aca="false">Revenue!I24</f>
        <v>19875.32187614</v>
      </c>
      <c r="J11" s="30" t="n">
        <f aca="false">Revenue!J24</f>
        <v>21474.4791150054</v>
      </c>
    </row>
    <row r="12" customFormat="false" ht="15" hidden="false" customHeight="true" outlineLevel="0" collapsed="false">
      <c r="B12" s="4" t="s">
        <v>124</v>
      </c>
      <c r="C12" s="36" t="n">
        <f aca="false">Revenue!C28</f>
        <v>33238</v>
      </c>
      <c r="D12" s="36" t="n">
        <f aca="false">Revenue!D28</f>
        <v>34936</v>
      </c>
      <c r="E12" s="36" t="n">
        <f aca="false">Revenue!E28</f>
        <v>38068</v>
      </c>
      <c r="F12" s="36" t="n">
        <f aca="false">Revenue!F28</f>
        <v>44989.83</v>
      </c>
      <c r="G12" s="36" t="n">
        <f aca="false">Revenue!G28</f>
        <v>49728.8189</v>
      </c>
      <c r="H12" s="36" t="n">
        <f aca="false">Revenue!H28</f>
        <v>54421.089792</v>
      </c>
      <c r="I12" s="36" t="n">
        <f aca="false">Revenue!I28</f>
        <v>58834.3581852</v>
      </c>
      <c r="J12" s="36" t="n">
        <f aca="false">Revenue!J28</f>
        <v>62744.8231568404</v>
      </c>
    </row>
    <row r="14" customFormat="false" ht="15" hidden="false" customHeight="true" outlineLevel="0" collapsed="false">
      <c r="B14" s="6" t="s">
        <v>125</v>
      </c>
    </row>
    <row r="16" customFormat="false" ht="15" hidden="false" customHeight="true" outlineLevel="0" collapsed="false">
      <c r="B16" s="11" t="s">
        <v>126</v>
      </c>
      <c r="C16" s="31" t="n">
        <f aca="false">C9*Assumptions!C24</f>
        <v>1726.164</v>
      </c>
      <c r="D16" s="31" t="n">
        <f aca="false">D9*Assumptions!D24</f>
        <v>2266</v>
      </c>
      <c r="E16" s="31" t="n">
        <f aca="false">E9*Assumptions!E24</f>
        <v>2905.749</v>
      </c>
      <c r="F16" s="31" t="n">
        <f aca="false">F9*Assumptions!F24</f>
        <v>3562.768</v>
      </c>
      <c r="G16" s="31" t="n">
        <f aca="false">G9*Assumptions!G24</f>
        <v>4213.675522</v>
      </c>
      <c r="H16" s="31" t="n">
        <f aca="false">H9*Assumptions!H24</f>
        <v>4762.9809437</v>
      </c>
      <c r="I16" s="31" t="n">
        <f aca="false">I9*Assumptions!I24</f>
        <v>5301.741300876</v>
      </c>
      <c r="J16" s="31" t="n">
        <f aca="false">J9*Assumptions!J24</f>
        <v>5645.69224600601</v>
      </c>
    </row>
    <row r="17" customFormat="false" ht="15" hidden="false" customHeight="true" outlineLevel="0" collapsed="false">
      <c r="B17" s="11" t="s">
        <v>127</v>
      </c>
      <c r="C17" s="31" t="n">
        <f aca="false">C10*Assumptions!C25</f>
        <v>-1031.73</v>
      </c>
      <c r="D17" s="31" t="n">
        <f aca="false">D10*Assumptions!D25</f>
        <v>-591.7</v>
      </c>
      <c r="E17" s="31" t="n">
        <f aca="false">E10*Assumptions!E25</f>
        <v>-601.26</v>
      </c>
      <c r="F17" s="31" t="n">
        <f aca="false">F10*Assumptions!F25</f>
        <v>-407.10015</v>
      </c>
      <c r="G17" s="31" t="n">
        <f aca="false">G10*Assumptions!G25</f>
        <v>-230.5290525</v>
      </c>
      <c r="H17" s="31" t="n">
        <f aca="false">H10*Assumptions!H25</f>
        <v>-95.70986434</v>
      </c>
      <c r="I17" s="31" t="n">
        <f aca="false">I10*Assumptions!I25</f>
        <v>49.7795898543</v>
      </c>
      <c r="J17" s="31" t="n">
        <f aca="false">J10*Assumptions!J25</f>
        <v>155.345806793691</v>
      </c>
    </row>
    <row r="18" customFormat="false" ht="15" hidden="false" customHeight="true" outlineLevel="0" collapsed="false">
      <c r="B18" s="11" t="s">
        <v>128</v>
      </c>
      <c r="C18" s="31" t="n">
        <f aca="false">C11*Assumptions!C26</f>
        <v>235.949</v>
      </c>
      <c r="D18" s="31" t="n">
        <f aca="false">D11*Assumptions!D26</f>
        <v>679.5</v>
      </c>
      <c r="E18" s="31" t="n">
        <f aca="false">E11*Assumptions!E26</f>
        <v>1436.658</v>
      </c>
      <c r="F18" s="31" t="n">
        <f aca="false">F11*Assumptions!F26</f>
        <v>2401.5662</v>
      </c>
      <c r="G18" s="31" t="n">
        <f aca="false">G11*Assumptions!G26</f>
        <v>2911.019436</v>
      </c>
      <c r="H18" s="31" t="n">
        <f aca="false">H11*Assumptions!H26</f>
        <v>3345.55283789</v>
      </c>
      <c r="I18" s="31" t="n">
        <f aca="false">I11*Assumptions!I26</f>
        <v>3776.3111564666</v>
      </c>
      <c r="J18" s="31" t="n">
        <f aca="false">J11*Assumptions!J26</f>
        <v>4080.15103185103</v>
      </c>
    </row>
    <row r="19" customFormat="false" ht="15" hidden="false" customHeight="true" outlineLevel="0" collapsed="false">
      <c r="B19" s="11" t="s">
        <v>129</v>
      </c>
      <c r="C19" s="30" t="n">
        <f aca="false">Assumptions!C27</f>
        <v>-116</v>
      </c>
      <c r="D19" s="30" t="n">
        <f aca="false">Assumptions!D27</f>
        <v>-323</v>
      </c>
      <c r="E19" s="30" t="n">
        <f aca="false">Assumptions!E27</f>
        <v>-541</v>
      </c>
      <c r="F19" s="30" t="n">
        <f aca="false">Assumptions!F27</f>
        <v>-560</v>
      </c>
      <c r="G19" s="30" t="n">
        <f aca="false">Assumptions!G27</f>
        <v>-580</v>
      </c>
      <c r="H19" s="30" t="n">
        <f aca="false">Assumptions!H27</f>
        <v>-600</v>
      </c>
      <c r="I19" s="30" t="n">
        <f aca="false">Assumptions!I27</f>
        <v>-620</v>
      </c>
      <c r="J19" s="30" t="n">
        <f aca="false">Assumptions!J27</f>
        <v>-640</v>
      </c>
    </row>
    <row r="21" customFormat="false" ht="15" hidden="false" customHeight="true" outlineLevel="0" collapsed="false">
      <c r="B21" s="37" t="s">
        <v>130</v>
      </c>
      <c r="C21" s="38" t="n">
        <f aca="false">C16+C17+C18+C19</f>
        <v>814.383</v>
      </c>
      <c r="D21" s="38" t="n">
        <f aca="false">D16+D17+D18+D19</f>
        <v>2030.8</v>
      </c>
      <c r="E21" s="38" t="n">
        <f aca="false">E16+E17+E18+E19</f>
        <v>3200.147</v>
      </c>
      <c r="F21" s="38" t="n">
        <f aca="false">F16+F17+F18+F19</f>
        <v>4997.23405</v>
      </c>
      <c r="G21" s="38" t="n">
        <f aca="false">G16+G17+G18+G19</f>
        <v>6314.1659055</v>
      </c>
      <c r="H21" s="38" t="n">
        <f aca="false">H16+H17+H18+H19</f>
        <v>7412.82391725</v>
      </c>
      <c r="I21" s="38" t="n">
        <f aca="false">I16+I17+I18+I19</f>
        <v>8507.8320471969</v>
      </c>
      <c r="J21" s="38" t="n">
        <f aca="false">J16+J17+J18+J19</f>
        <v>9241.18908465073</v>
      </c>
    </row>
    <row r="23" customFormat="false" ht="15" hidden="false" customHeight="true" outlineLevel="0" collapsed="false">
      <c r="B23" s="17" t="s">
        <v>131</v>
      </c>
      <c r="C23" s="26" t="n">
        <f aca="false">C21/C12</f>
        <v>0.0245015644743968</v>
      </c>
      <c r="D23" s="26" t="n">
        <f aca="false">D21/D12</f>
        <v>0.0581291504465308</v>
      </c>
      <c r="E23" s="26" t="n">
        <f aca="false">E21/E12</f>
        <v>0.0840639644846065</v>
      </c>
      <c r="F23" s="26" t="n">
        <f aca="false">F21/F12</f>
        <v>0.111074748448705</v>
      </c>
      <c r="G23" s="26" t="n">
        <f aca="false">G21/G12</f>
        <v>0.126971966058498</v>
      </c>
      <c r="H23" s="26" t="n">
        <f aca="false">H21/H12</f>
        <v>0.136212338738202</v>
      </c>
      <c r="I23" s="26" t="n">
        <f aca="false">I21/I12</f>
        <v>0.144606524310434</v>
      </c>
      <c r="J23" s="26" t="n">
        <f aca="false">J21/J12</f>
        <v>0.147282096270332</v>
      </c>
    </row>
    <row r="26" customFormat="false" ht="15" hidden="false" customHeight="true" outlineLevel="0" collapsed="false">
      <c r="B26" s="6" t="s">
        <v>132</v>
      </c>
    </row>
    <row r="28" customFormat="false" ht="15" hidden="false" customHeight="true" outlineLevel="0" collapsed="false">
      <c r="B28" s="11" t="s">
        <v>133</v>
      </c>
      <c r="C28" s="31" t="n">
        <f aca="false">-C12*Assumptions!C32</f>
        <v>-963.902</v>
      </c>
      <c r="D28" s="31" t="n">
        <f aca="false">-D12*Assumptions!D32</f>
        <v>-1187.824</v>
      </c>
      <c r="E28" s="31" t="n">
        <f aca="false">-E12*Assumptions!E32</f>
        <v>-837.496</v>
      </c>
      <c r="F28" s="31" t="n">
        <f aca="false">-F12*Assumptions!F32</f>
        <v>-1259.71524</v>
      </c>
      <c r="G28" s="31" t="n">
        <f aca="false">-G12*Assumptions!G32</f>
        <v>-1342.6781103</v>
      </c>
      <c r="H28" s="31" t="n">
        <f aca="false">-H12*Assumptions!H32</f>
        <v>-1414.948334592</v>
      </c>
      <c r="I28" s="31" t="n">
        <f aca="false">-I12*Assumptions!I32</f>
        <v>-1470.85895463</v>
      </c>
      <c r="J28" s="31" t="n">
        <f aca="false">-J12*Assumptions!J32</f>
        <v>-1568.62057892101</v>
      </c>
    </row>
    <row r="29" customFormat="false" ht="15" hidden="false" customHeight="true" outlineLevel="0" collapsed="false">
      <c r="B29" s="11" t="s">
        <v>134</v>
      </c>
      <c r="C29" s="30" t="n">
        <f aca="false">-Assumptions!C33</f>
        <v>-0</v>
      </c>
      <c r="D29" s="30" t="n">
        <f aca="false">-Assumptions!D33</f>
        <v>-155</v>
      </c>
      <c r="E29" s="30" t="n">
        <f aca="false">-Assumptions!E33</f>
        <v>-257</v>
      </c>
      <c r="F29" s="30" t="n">
        <f aca="false">-Assumptions!F33</f>
        <v>-290</v>
      </c>
      <c r="G29" s="30" t="n">
        <f aca="false">-Assumptions!G33</f>
        <v>-310</v>
      </c>
      <c r="H29" s="30" t="n">
        <f aca="false">-Assumptions!H33</f>
        <v>-330</v>
      </c>
      <c r="I29" s="30" t="n">
        <f aca="false">-Assumptions!I33</f>
        <v>-350</v>
      </c>
      <c r="J29" s="30" t="n">
        <f aca="false">-Assumptions!J33</f>
        <v>-370</v>
      </c>
    </row>
    <row r="30" customFormat="false" ht="15" hidden="false" customHeight="true" outlineLevel="0" collapsed="false">
      <c r="B30" s="11" t="s">
        <v>135</v>
      </c>
      <c r="C30" s="30" t="n">
        <f aca="false">-Assumptions!C36</f>
        <v>-433</v>
      </c>
      <c r="D30" s="30" t="n">
        <f aca="false">-Assumptions!D36</f>
        <v>-421</v>
      </c>
      <c r="E30" s="30" t="n">
        <f aca="false">-Assumptions!E36</f>
        <v>-285</v>
      </c>
      <c r="F30" s="30" t="n">
        <f aca="false">-Assumptions!F36</f>
        <v>-150</v>
      </c>
      <c r="G30" s="30" t="n">
        <f aca="false">-Assumptions!G36</f>
        <v>-100</v>
      </c>
      <c r="H30" s="30" t="n">
        <f aca="false">-Assumptions!H36</f>
        <v>-75</v>
      </c>
      <c r="I30" s="30" t="n">
        <f aca="false">-Assumptions!I36</f>
        <v>-50</v>
      </c>
      <c r="J30" s="30" t="n">
        <f aca="false">-Assumptions!J36</f>
        <v>-50</v>
      </c>
    </row>
    <row r="32" customFormat="false" ht="15" hidden="false" customHeight="true" outlineLevel="0" collapsed="false">
      <c r="B32" s="32" t="s">
        <v>136</v>
      </c>
      <c r="C32" s="33" t="n">
        <f aca="false">C21+C28+C29+C30</f>
        <v>-582.519</v>
      </c>
      <c r="D32" s="33" t="n">
        <f aca="false">D21+D28+D29+D30</f>
        <v>266.976</v>
      </c>
      <c r="E32" s="33" t="n">
        <f aca="false">E21+E28+E29+E30</f>
        <v>1820.651</v>
      </c>
      <c r="F32" s="33" t="n">
        <f aca="false">F21+F28+F29+F30</f>
        <v>3297.51881</v>
      </c>
      <c r="G32" s="33" t="n">
        <f aca="false">G21+G28+G29+G30</f>
        <v>4561.4877952</v>
      </c>
      <c r="H32" s="33" t="n">
        <f aca="false">H21+H28+H29+H30</f>
        <v>5592.875582658</v>
      </c>
      <c r="I32" s="33" t="n">
        <f aca="false">I21+I28+I29+I30</f>
        <v>6636.9730925669</v>
      </c>
      <c r="J32" s="33" t="n">
        <f aca="false">J21+J28+J29+J30</f>
        <v>7252.56850572972</v>
      </c>
    </row>
    <row r="34" customFormat="false" ht="15" hidden="false" customHeight="true" outlineLevel="0" collapsed="false">
      <c r="B34" s="11" t="s">
        <v>137</v>
      </c>
      <c r="C34" s="30" t="n">
        <f aca="false">Assumptions!C34</f>
        <v>567</v>
      </c>
      <c r="D34" s="30" t="n">
        <f aca="false">Assumptions!D34</f>
        <v>536</v>
      </c>
      <c r="E34" s="30" t="n">
        <f aca="false">Assumptions!E34</f>
        <v>459</v>
      </c>
      <c r="F34" s="30" t="n">
        <f aca="false">Assumptions!F34</f>
        <v>500</v>
      </c>
      <c r="G34" s="30" t="n">
        <f aca="false">Assumptions!G34</f>
        <v>510</v>
      </c>
      <c r="H34" s="30" t="n">
        <f aca="false">Assumptions!H34</f>
        <v>520</v>
      </c>
      <c r="I34" s="30" t="n">
        <f aca="false">Assumptions!I34</f>
        <v>530</v>
      </c>
      <c r="J34" s="30" t="n">
        <f aca="false">Assumptions!J34</f>
        <v>540</v>
      </c>
    </row>
    <row r="36" customFormat="false" ht="15" hidden="false" customHeight="true" outlineLevel="0" collapsed="false">
      <c r="B36" s="32" t="s">
        <v>138</v>
      </c>
      <c r="C36" s="33" t="n">
        <f aca="false">C32+C34</f>
        <v>-15.5190000000001</v>
      </c>
      <c r="D36" s="33" t="n">
        <f aca="false">D32+D34</f>
        <v>802.976</v>
      </c>
      <c r="E36" s="33" t="n">
        <f aca="false">E32+E34</f>
        <v>2279.651</v>
      </c>
      <c r="F36" s="33" t="n">
        <f aca="false">F32+F34</f>
        <v>3797.51881</v>
      </c>
      <c r="G36" s="33" t="n">
        <f aca="false">G32+G34</f>
        <v>5071.4877952</v>
      </c>
      <c r="H36" s="33" t="n">
        <f aca="false">H32+H34</f>
        <v>6112.875582658</v>
      </c>
      <c r="I36" s="33" t="n">
        <f aca="false">I32+I34</f>
        <v>7166.9730925669</v>
      </c>
      <c r="J36" s="33" t="n">
        <f aca="false">J32+J34</f>
        <v>7792.56850572972</v>
      </c>
    </row>
    <row r="38" customFormat="false" ht="15" hidden="false" customHeight="true" outlineLevel="0" collapsed="false">
      <c r="B38" s="11" t="s">
        <v>139</v>
      </c>
      <c r="C38" s="31" t="n">
        <f aca="false">-C36*Assumptions!C35</f>
        <v>4.09701600000003</v>
      </c>
      <c r="D38" s="31" t="n">
        <f aca="false">-D36*Assumptions!D35</f>
        <v>-301.918976</v>
      </c>
      <c r="E38" s="31" t="n">
        <f aca="false">-E36*Assumptions!E35</f>
        <v>-615.50577</v>
      </c>
      <c r="F38" s="31" t="n">
        <f aca="false">-F36*Assumptions!F35</f>
        <v>-949.3797025</v>
      </c>
      <c r="G38" s="31" t="n">
        <f aca="false">-G36*Assumptions!G35</f>
        <v>-1267.8719488</v>
      </c>
      <c r="H38" s="31" t="n">
        <f aca="false">-H36*Assumptions!H35</f>
        <v>-1528.2188956645</v>
      </c>
      <c r="I38" s="31" t="n">
        <f aca="false">-I36*Assumptions!I35</f>
        <v>-1791.74327314172</v>
      </c>
      <c r="J38" s="31" t="n">
        <f aca="false">-J36*Assumptions!J35</f>
        <v>-1948.14212643243</v>
      </c>
    </row>
    <row r="40" customFormat="false" ht="15" hidden="false" customHeight="true" outlineLevel="0" collapsed="false">
      <c r="B40" s="37" t="s">
        <v>140</v>
      </c>
      <c r="C40" s="38" t="n">
        <f aca="false">C36+C38</f>
        <v>-11.4219840000001</v>
      </c>
      <c r="D40" s="38" t="n">
        <f aca="false">D36+D38</f>
        <v>501.057024</v>
      </c>
      <c r="E40" s="38" t="n">
        <f aca="false">E36+E38</f>
        <v>1664.14523</v>
      </c>
      <c r="F40" s="38" t="n">
        <f aca="false">F36+F38</f>
        <v>2848.1391075</v>
      </c>
      <c r="G40" s="38" t="n">
        <f aca="false">G36+G38</f>
        <v>3803.6158464</v>
      </c>
      <c r="H40" s="38" t="n">
        <f aca="false">H36+H38</f>
        <v>4584.6566869935</v>
      </c>
      <c r="I40" s="38" t="n">
        <f aca="false">I36+I38</f>
        <v>5375.22981942517</v>
      </c>
      <c r="J40" s="38" t="n">
        <f aca="false">J36+J38</f>
        <v>5844.42637929729</v>
      </c>
    </row>
    <row r="42" customFormat="false" ht="15" hidden="false" customHeight="true" outlineLevel="0" collapsed="false">
      <c r="B42" s="11" t="s">
        <v>141</v>
      </c>
      <c r="C42" s="39" t="n">
        <f aca="false">Historicals!C63</f>
        <v>274</v>
      </c>
      <c r="D42" s="39" t="n">
        <f aca="false">Historicals!D63</f>
        <v>278</v>
      </c>
      <c r="E42" s="39" t="n">
        <f aca="false">Historicals!E63</f>
        <v>276</v>
      </c>
      <c r="F42" s="40" t="n">
        <v>272</v>
      </c>
      <c r="G42" s="40" t="n">
        <v>268</v>
      </c>
      <c r="H42" s="40" t="n">
        <v>264</v>
      </c>
      <c r="I42" s="40" t="n">
        <v>261</v>
      </c>
      <c r="J42" s="40" t="n">
        <v>258</v>
      </c>
    </row>
    <row r="43" customFormat="false" ht="15" hidden="false" customHeight="true" outlineLevel="0" collapsed="false">
      <c r="B43" s="4" t="s">
        <v>142</v>
      </c>
      <c r="C43" s="41" t="n">
        <f aca="false">C40/C42</f>
        <v>-0.0416860729927011</v>
      </c>
      <c r="D43" s="41" t="n">
        <f aca="false">D40/D42</f>
        <v>1.80236339568345</v>
      </c>
      <c r="E43" s="41" t="n">
        <f aca="false">E40/E42</f>
        <v>6.02951170289855</v>
      </c>
      <c r="F43" s="41" t="n">
        <f aca="false">F40/F42</f>
        <v>10.4710996599265</v>
      </c>
      <c r="G43" s="41" t="n">
        <f aca="false">G40/G42</f>
        <v>14.192596441791</v>
      </c>
      <c r="H43" s="41" t="n">
        <f aca="false">H40/H42</f>
        <v>17.3661238143693</v>
      </c>
      <c r="I43" s="41" t="n">
        <f aca="false">I40/I42</f>
        <v>20.5947502659968</v>
      </c>
      <c r="J43" s="41" t="n">
        <f aca="false">J40/J42</f>
        <v>22.6528154236329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2"/>
    <col collapsed="false" customWidth="true" hidden="false" outlineLevel="0" max="10" min="3" style="1" width="13"/>
    <col collapsed="false" customWidth="true" hidden="false" outlineLevel="0" max="11" min="11" style="1" width="14"/>
  </cols>
  <sheetData>
    <row r="2" customFormat="false" ht="17.25" hidden="false" customHeight="true" outlineLevel="0" collapsed="false">
      <c r="B2" s="16" t="s">
        <v>143</v>
      </c>
    </row>
    <row r="3" customFormat="false" ht="15" hidden="false" customHeight="true" outlineLevel="0" collapsed="false">
      <c r="B3" s="17" t="s">
        <v>144</v>
      </c>
    </row>
    <row r="5" customFormat="false" ht="15" hidden="false" customHeight="true" outlineLevel="0" collapsed="false">
      <c r="B5" s="18" t="s">
        <v>51</v>
      </c>
      <c r="C5" s="29" t="s">
        <v>52</v>
      </c>
      <c r="D5" s="29" t="s">
        <v>53</v>
      </c>
      <c r="E5" s="29" t="s">
        <v>54</v>
      </c>
      <c r="F5" s="29" t="s">
        <v>55</v>
      </c>
      <c r="G5" s="29" t="s">
        <v>56</v>
      </c>
      <c r="H5" s="29" t="s">
        <v>57</v>
      </c>
      <c r="I5" s="29" t="s">
        <v>58</v>
      </c>
      <c r="J5" s="29" t="s">
        <v>59</v>
      </c>
    </row>
    <row r="7" customFormat="false" ht="15" hidden="false" customHeight="true" outlineLevel="0" collapsed="false">
      <c r="B7" s="11" t="s">
        <v>145</v>
      </c>
      <c r="C7" s="30" t="n">
        <f aca="false">Revenue!C28</f>
        <v>33238</v>
      </c>
      <c r="D7" s="30" t="n">
        <f aca="false">Revenue!D28</f>
        <v>34936</v>
      </c>
      <c r="E7" s="30" t="n">
        <f aca="false">Revenue!E28</f>
        <v>38068</v>
      </c>
      <c r="F7" s="30" t="n">
        <f aca="false">Revenue!F28</f>
        <v>44989.83</v>
      </c>
      <c r="G7" s="30" t="n">
        <f aca="false">Revenue!G28</f>
        <v>49728.8189</v>
      </c>
      <c r="H7" s="30" t="n">
        <f aca="false">Revenue!H28</f>
        <v>54421.089792</v>
      </c>
      <c r="I7" s="30" t="n">
        <f aca="false">Revenue!I28</f>
        <v>58834.3581852</v>
      </c>
      <c r="J7" s="30" t="n">
        <f aca="false">Revenue!J28</f>
        <v>62744.8231568404</v>
      </c>
    </row>
    <row r="9" customFormat="false" ht="15" hidden="false" customHeight="true" outlineLevel="0" collapsed="false">
      <c r="B9" s="4" t="s">
        <v>130</v>
      </c>
      <c r="C9" s="36" t="n">
        <f aca="false">'P&amp;L'!C21</f>
        <v>814.383</v>
      </c>
      <c r="D9" s="36" t="n">
        <f aca="false">'P&amp;L'!D21</f>
        <v>2030.8</v>
      </c>
      <c r="E9" s="36" t="n">
        <f aca="false">'P&amp;L'!E21</f>
        <v>3200.147</v>
      </c>
      <c r="F9" s="36" t="n">
        <f aca="false">'P&amp;L'!F21</f>
        <v>4997.23405</v>
      </c>
      <c r="G9" s="36" t="n">
        <f aca="false">'P&amp;L'!G21</f>
        <v>6314.1659055</v>
      </c>
      <c r="H9" s="36" t="n">
        <f aca="false">'P&amp;L'!H21</f>
        <v>7412.82391725</v>
      </c>
      <c r="I9" s="36" t="n">
        <f aca="false">'P&amp;L'!I21</f>
        <v>8507.8320471969</v>
      </c>
      <c r="J9" s="36" t="n">
        <f aca="false">'P&amp;L'!J21</f>
        <v>9241.18908465073</v>
      </c>
    </row>
    <row r="10" customFormat="false" ht="15" hidden="false" customHeight="true" outlineLevel="0" collapsed="false">
      <c r="B10" s="11" t="s">
        <v>146</v>
      </c>
      <c r="C10" s="30" t="n">
        <f aca="false">'P&amp;L'!C28</f>
        <v>-963.902</v>
      </c>
      <c r="D10" s="30" t="n">
        <f aca="false">'P&amp;L'!D28</f>
        <v>-1187.824</v>
      </c>
      <c r="E10" s="30" t="n">
        <f aca="false">'P&amp;L'!E28</f>
        <v>-837.496</v>
      </c>
      <c r="F10" s="30" t="n">
        <f aca="false">'P&amp;L'!F28</f>
        <v>-1259.71524</v>
      </c>
      <c r="G10" s="30" t="n">
        <f aca="false">'P&amp;L'!G28</f>
        <v>-1342.6781103</v>
      </c>
      <c r="H10" s="30" t="n">
        <f aca="false">'P&amp;L'!H28</f>
        <v>-1414.948334592</v>
      </c>
      <c r="I10" s="30" t="n">
        <f aca="false">'P&amp;L'!I28</f>
        <v>-1470.85895463</v>
      </c>
      <c r="J10" s="30" t="n">
        <f aca="false">'P&amp;L'!J28</f>
        <v>-1568.62057892101</v>
      </c>
    </row>
    <row r="11" customFormat="false" ht="15" hidden="false" customHeight="true" outlineLevel="0" collapsed="false">
      <c r="B11" s="32" t="s">
        <v>147</v>
      </c>
      <c r="C11" s="33" t="n">
        <f aca="false">C9+C10</f>
        <v>-149.519</v>
      </c>
      <c r="D11" s="33" t="n">
        <f aca="false">D9+D10</f>
        <v>842.976</v>
      </c>
      <c r="E11" s="33" t="n">
        <f aca="false">E9+E10</f>
        <v>2362.651</v>
      </c>
      <c r="F11" s="33" t="n">
        <f aca="false">F9+F10</f>
        <v>3737.51881</v>
      </c>
      <c r="G11" s="33" t="n">
        <f aca="false">G9+G10</f>
        <v>4971.4877952</v>
      </c>
      <c r="H11" s="33" t="n">
        <f aca="false">H9+H10</f>
        <v>5997.875582658</v>
      </c>
      <c r="I11" s="33" t="n">
        <f aca="false">I9+I10</f>
        <v>7036.9730925669</v>
      </c>
      <c r="J11" s="33" t="n">
        <f aca="false">J9+J10</f>
        <v>7672.56850572972</v>
      </c>
    </row>
    <row r="13" customFormat="false" ht="15" hidden="false" customHeight="true" outlineLevel="0" collapsed="false">
      <c r="B13" s="11" t="s">
        <v>148</v>
      </c>
      <c r="C13" s="31" t="n">
        <f aca="false">-C11*Assumptions!C35</f>
        <v>39.473016</v>
      </c>
      <c r="D13" s="31" t="n">
        <f aca="false">-D11*Assumptions!D35</f>
        <v>-316.958976</v>
      </c>
      <c r="E13" s="31" t="n">
        <f aca="false">-E11*Assumptions!E35</f>
        <v>-637.91577</v>
      </c>
      <c r="F13" s="31" t="n">
        <f aca="false">-F11*Assumptions!F35</f>
        <v>-934.3797025</v>
      </c>
      <c r="G13" s="31" t="n">
        <f aca="false">-G11*Assumptions!G35</f>
        <v>-1242.8719488</v>
      </c>
      <c r="H13" s="31" t="n">
        <f aca="false">-H11*Assumptions!H35</f>
        <v>-1499.4688956645</v>
      </c>
      <c r="I13" s="31" t="n">
        <f aca="false">-I11*Assumptions!I35</f>
        <v>-1759.24327314172</v>
      </c>
      <c r="J13" s="31" t="n">
        <f aca="false">-J11*Assumptions!J35</f>
        <v>-1918.14212643243</v>
      </c>
    </row>
    <row r="14" customFormat="false" ht="15" hidden="false" customHeight="true" outlineLevel="0" collapsed="false">
      <c r="B14" s="32" t="s">
        <v>149</v>
      </c>
      <c r="C14" s="33" t="n">
        <f aca="false">C11+C13</f>
        <v>-110.045984</v>
      </c>
      <c r="D14" s="33" t="n">
        <f aca="false">D11+D13</f>
        <v>526.017024</v>
      </c>
      <c r="E14" s="33" t="n">
        <f aca="false">E11+E13</f>
        <v>1724.73523</v>
      </c>
      <c r="F14" s="33" t="n">
        <f aca="false">F11+F13</f>
        <v>2803.1391075</v>
      </c>
      <c r="G14" s="33" t="n">
        <f aca="false">G11+G13</f>
        <v>3728.6158464</v>
      </c>
      <c r="H14" s="33" t="n">
        <f aca="false">H11+H13</f>
        <v>4498.4066869935</v>
      </c>
      <c r="I14" s="33" t="n">
        <f aca="false">I11+I13</f>
        <v>5277.72981942517</v>
      </c>
      <c r="J14" s="33" t="n">
        <f aca="false">J11+J13</f>
        <v>5754.42637929729</v>
      </c>
    </row>
    <row r="16" customFormat="false" ht="15" hidden="false" customHeight="true" outlineLevel="0" collapsed="false">
      <c r="B16" s="11" t="s">
        <v>150</v>
      </c>
      <c r="C16" s="31" t="n">
        <f aca="false">-'P&amp;L'!C28</f>
        <v>963.902</v>
      </c>
      <c r="D16" s="31" t="n">
        <f aca="false">-'P&amp;L'!D28</f>
        <v>1187.824</v>
      </c>
      <c r="E16" s="31" t="n">
        <f aca="false">-'P&amp;L'!E28</f>
        <v>837.496</v>
      </c>
      <c r="F16" s="31" t="n">
        <f aca="false">-'P&amp;L'!F28</f>
        <v>1259.71524</v>
      </c>
      <c r="G16" s="31" t="n">
        <f aca="false">-'P&amp;L'!G28</f>
        <v>1342.6781103</v>
      </c>
      <c r="H16" s="31" t="n">
        <f aca="false">-'P&amp;L'!H28</f>
        <v>1414.948334592</v>
      </c>
      <c r="I16" s="31" t="n">
        <f aca="false">-'P&amp;L'!I28</f>
        <v>1470.85895463</v>
      </c>
      <c r="J16" s="31" t="n">
        <f aca="false">-'P&amp;L'!J28</f>
        <v>1568.62057892101</v>
      </c>
    </row>
    <row r="17" customFormat="false" ht="15" hidden="false" customHeight="true" outlineLevel="0" collapsed="false">
      <c r="B17" s="11" t="s">
        <v>151</v>
      </c>
      <c r="C17" s="31" t="n">
        <f aca="false">-C7*Assumptions!C41</f>
        <v>-731.236</v>
      </c>
      <c r="D17" s="31" t="n">
        <f aca="false">-D7*Assumptions!D41</f>
        <v>-873.4</v>
      </c>
      <c r="E17" s="31" t="n">
        <f aca="false">-E7*Assumptions!E41</f>
        <v>-1256.244</v>
      </c>
      <c r="F17" s="31" t="n">
        <f aca="false">-F7*Assumptions!F41</f>
        <v>-1687.118625</v>
      </c>
      <c r="G17" s="31" t="n">
        <f aca="false">-G7*Assumptions!G41</f>
        <v>-1690.7798426</v>
      </c>
      <c r="H17" s="31" t="n">
        <f aca="false">-H7*Assumptions!H41</f>
        <v>-1687.053783552</v>
      </c>
      <c r="I17" s="31" t="n">
        <f aca="false">-I7*Assumptions!I41</f>
        <v>-1706.1963873708</v>
      </c>
      <c r="J17" s="31" t="n">
        <f aca="false">-J7*Assumptions!J41</f>
        <v>-1725.48263681311</v>
      </c>
    </row>
    <row r="18" customFormat="false" ht="15" hidden="false" customHeight="true" outlineLevel="0" collapsed="false">
      <c r="B18" s="11" t="s">
        <v>152</v>
      </c>
      <c r="C18" s="22" t="n">
        <v>0</v>
      </c>
      <c r="D18" s="22" t="n">
        <v>0</v>
      </c>
      <c r="E18" s="22" t="n">
        <v>0</v>
      </c>
      <c r="F18" s="31" t="n">
        <f aca="false">(F7-E7)*Assumptions!F42</f>
        <v>-2076.549</v>
      </c>
      <c r="G18" s="31" t="n">
        <f aca="false">(G7-F7)*Assumptions!G42</f>
        <v>-710.848335</v>
      </c>
      <c r="H18" s="31" t="n">
        <f aca="false">(H7-G7)*Assumptions!H42</f>
        <v>-234.6135446</v>
      </c>
      <c r="I18" s="31" t="n">
        <f aca="false">(I7-H7)*Assumptions!I42</f>
        <v>0</v>
      </c>
      <c r="J18" s="31" t="n">
        <f aca="false">(J7-I7)*Assumptions!J42</f>
        <v>195.52324858202</v>
      </c>
    </row>
    <row r="20" customFormat="false" ht="15" hidden="false" customHeight="true" outlineLevel="0" collapsed="false">
      <c r="B20" s="37" t="s">
        <v>153</v>
      </c>
      <c r="C20" s="38" t="n">
        <f aca="false">C14+C16+C17+C18</f>
        <v>122.620016</v>
      </c>
      <c r="D20" s="38" t="n">
        <f aca="false">D14+D16+D17+D18</f>
        <v>840.441024</v>
      </c>
      <c r="E20" s="38" t="n">
        <f aca="false">E14+E16+E17+E18</f>
        <v>1305.98723</v>
      </c>
      <c r="F20" s="38" t="n">
        <f aca="false">F14+F16+F17+F18</f>
        <v>299.186722499999</v>
      </c>
      <c r="G20" s="38" t="n">
        <f aca="false">G14+G16+G17+G18</f>
        <v>2669.6657791</v>
      </c>
      <c r="H20" s="38" t="n">
        <f aca="false">H14+H16+H17+H18</f>
        <v>3991.6876934335</v>
      </c>
      <c r="I20" s="38" t="n">
        <f aca="false">I14+I16+I17+I18</f>
        <v>5042.39238668437</v>
      </c>
      <c r="J20" s="38" t="n">
        <f aca="false">J14+J16+J17+J18</f>
        <v>5793.08756998721</v>
      </c>
    </row>
    <row r="22" customFormat="false" ht="15" hidden="false" customHeight="true" outlineLevel="0" collapsed="false">
      <c r="B22" s="17" t="s">
        <v>154</v>
      </c>
      <c r="C22" s="26" t="n">
        <f aca="false">C20/C7</f>
        <v>0.00368915145315603</v>
      </c>
      <c r="D22" s="26" t="n">
        <f aca="false">D20/D7</f>
        <v>0.0240565898786352</v>
      </c>
      <c r="E22" s="26" t="n">
        <f aca="false">E20/E7</f>
        <v>0.0343066940737627</v>
      </c>
      <c r="F22" s="26" t="n">
        <f aca="false">F20/F7</f>
        <v>0.00665009675519998</v>
      </c>
      <c r="G22" s="26" t="n">
        <f aca="false">G20/G7</f>
        <v>0.0536844799082892</v>
      </c>
      <c r="H22" s="26" t="n">
        <f aca="false">H20/H7</f>
        <v>0.0733481763906221</v>
      </c>
      <c r="I22" s="26" t="n">
        <f aca="false">I20/I7</f>
        <v>0.0857048932328254</v>
      </c>
      <c r="J22" s="26" t="n">
        <f aca="false">J20/J7</f>
        <v>0.092327737628752</v>
      </c>
    </row>
    <row r="23" customFormat="false" ht="15" hidden="false" customHeight="true" outlineLevel="0" collapsed="false">
      <c r="B23" s="17" t="s">
        <v>155</v>
      </c>
      <c r="D23" s="26" t="n">
        <f aca="false">IFERROR(D20/C20-1,"-")</f>
        <v>5.8540280079559</v>
      </c>
      <c r="E23" s="26" t="n">
        <f aca="false">IFERROR(E20/D20-1,"-")</f>
        <v>0.553930844289675</v>
      </c>
      <c r="F23" s="26" t="n">
        <f aca="false">IFERROR(F20/E20-1,"-")</f>
        <v>-0.770911448728332</v>
      </c>
      <c r="G23" s="26" t="n">
        <f aca="false">IFERROR(G20/F20-1,"-")</f>
        <v>7.92307571937793</v>
      </c>
      <c r="H23" s="26" t="n">
        <f aca="false">IFERROR(H20/G20-1,"-")</f>
        <v>0.495201281255206</v>
      </c>
      <c r="I23" s="26" t="n">
        <f aca="false">IFERROR(I20/H20-1,"-")</f>
        <v>0.2632231712364</v>
      </c>
      <c r="J23" s="26" t="n">
        <f aca="false">IFERROR(J20/I20-1,"-")</f>
        <v>0.148876788185945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2"/>
    <col collapsed="false" customWidth="true" hidden="false" outlineLevel="0" max="10" min="3" style="1" width="13"/>
    <col collapsed="false" customWidth="true" hidden="false" outlineLevel="0" max="11" min="11" style="1" width="14"/>
  </cols>
  <sheetData>
    <row r="2" customFormat="false" ht="17.25" hidden="false" customHeight="true" outlineLevel="0" collapsed="false">
      <c r="B2" s="16" t="s">
        <v>156</v>
      </c>
    </row>
    <row r="3" customFormat="false" ht="15" hidden="false" customHeight="true" outlineLevel="0" collapsed="false">
      <c r="B3" s="17" t="s">
        <v>157</v>
      </c>
    </row>
    <row r="5" customFormat="false" ht="15" hidden="false" customHeight="true" outlineLevel="0" collapsed="false">
      <c r="B5" s="4" t="s">
        <v>158</v>
      </c>
      <c r="C5" s="5" t="s">
        <v>5</v>
      </c>
    </row>
    <row r="7" customFormat="false" ht="15" hidden="false" customHeight="true" outlineLevel="0" collapsed="false">
      <c r="B7" s="11" t="s">
        <v>159</v>
      </c>
      <c r="C7" s="42" t="n">
        <f aca="false">Assumptions!C56</f>
        <v>0.113035</v>
      </c>
    </row>
    <row r="8" customFormat="false" ht="15" hidden="false" customHeight="true" outlineLevel="0" collapsed="false">
      <c r="B8" s="11" t="s">
        <v>105</v>
      </c>
      <c r="C8" s="42" t="n">
        <f aca="false">Assumptions!C58</f>
        <v>0.025</v>
      </c>
    </row>
    <row r="9" customFormat="false" ht="15" hidden="false" customHeight="true" outlineLevel="0" collapsed="false">
      <c r="B9" s="11" t="s">
        <v>107</v>
      </c>
      <c r="C9" s="43" t="n">
        <f aca="false">Assumptions!C59</f>
        <v>18</v>
      </c>
    </row>
    <row r="12" customFormat="false" ht="15" hidden="false" customHeight="true" outlineLevel="0" collapsed="false">
      <c r="B12" s="18" t="s">
        <v>51</v>
      </c>
      <c r="C12" s="29" t="s">
        <v>55</v>
      </c>
      <c r="D12" s="29" t="s">
        <v>56</v>
      </c>
      <c r="E12" s="29" t="s">
        <v>57</v>
      </c>
      <c r="F12" s="29" t="s">
        <v>58</v>
      </c>
      <c r="G12" s="29" t="s">
        <v>59</v>
      </c>
    </row>
    <row r="13" customFormat="false" ht="15" hidden="false" customHeight="true" outlineLevel="0" collapsed="false">
      <c r="B13" s="11" t="s">
        <v>160</v>
      </c>
      <c r="C13" s="44" t="n">
        <v>1</v>
      </c>
      <c r="D13" s="44" t="n">
        <v>2</v>
      </c>
      <c r="E13" s="44" t="n">
        <v>3</v>
      </c>
      <c r="F13" s="44" t="n">
        <v>4</v>
      </c>
      <c r="G13" s="44" t="n">
        <v>5</v>
      </c>
    </row>
    <row r="14" customFormat="false" ht="15" hidden="false" customHeight="true" outlineLevel="0" collapsed="false">
      <c r="B14" s="4" t="s">
        <v>161</v>
      </c>
      <c r="C14" s="36" t="n">
        <f aca="false">FCF!F20</f>
        <v>299.186722499999</v>
      </c>
      <c r="D14" s="36" t="n">
        <f aca="false">FCF!G20</f>
        <v>2669.6657791</v>
      </c>
      <c r="E14" s="36" t="n">
        <f aca="false">FCF!H20</f>
        <v>3991.6876934335</v>
      </c>
      <c r="F14" s="36" t="n">
        <f aca="false">FCF!I20</f>
        <v>5042.39238668437</v>
      </c>
      <c r="G14" s="36" t="n">
        <f aca="false">FCF!J20</f>
        <v>5793.08756998721</v>
      </c>
    </row>
    <row r="15" customFormat="false" ht="15" hidden="false" customHeight="true" outlineLevel="0" collapsed="false">
      <c r="B15" s="11" t="s">
        <v>162</v>
      </c>
      <c r="C15" s="45" t="n">
        <f aca="false">1/(1+$C$7)^C13</f>
        <v>0.898444343619024</v>
      </c>
      <c r="D15" s="45" t="n">
        <f aca="false">1/(1+$C$7)^D13</f>
        <v>0.807202238581018</v>
      </c>
      <c r="E15" s="45" t="n">
        <f aca="false">1/(1+$C$7)^E13</f>
        <v>0.725226285409729</v>
      </c>
      <c r="F15" s="45" t="n">
        <f aca="false">1/(1+$C$7)^F13</f>
        <v>0.651575453970207</v>
      </c>
      <c r="G15" s="45" t="n">
        <f aca="false">1/(1+$C$7)^G13</f>
        <v>0.58540428106053</v>
      </c>
    </row>
    <row r="16" customFormat="false" ht="15" hidden="false" customHeight="true" outlineLevel="0" collapsed="false">
      <c r="B16" s="32" t="s">
        <v>163</v>
      </c>
      <c r="C16" s="33" t="n">
        <f aca="false">C14*C15</f>
        <v>268.802618516038</v>
      </c>
      <c r="D16" s="33" t="n">
        <f aca="false">D14*D15</f>
        <v>2154.96019315266</v>
      </c>
      <c r="E16" s="33" t="n">
        <f aca="false">E14*E15</f>
        <v>2894.87683842451</v>
      </c>
      <c r="F16" s="33" t="n">
        <f aca="false">F14*F15</f>
        <v>3285.49910844979</v>
      </c>
      <c r="G16" s="33" t="n">
        <f aca="false">G14*G15</f>
        <v>3391.29826402905</v>
      </c>
    </row>
    <row r="18" customFormat="false" ht="15" hidden="false" customHeight="true" outlineLevel="0" collapsed="false">
      <c r="B18" s="4" t="s">
        <v>164</v>
      </c>
      <c r="C18" s="46" t="n">
        <f aca="false">SUM(C16:G16)</f>
        <v>11995.437022572</v>
      </c>
    </row>
    <row r="20" customFormat="false" ht="15" hidden="false" customHeight="true" outlineLevel="0" collapsed="false">
      <c r="B20" s="6" t="s">
        <v>165</v>
      </c>
    </row>
    <row r="22" customFormat="false" ht="15" hidden="false" customHeight="true" outlineLevel="0" collapsed="false">
      <c r="B22" s="4" t="s">
        <v>166</v>
      </c>
    </row>
    <row r="23" customFormat="false" ht="15" hidden="false" customHeight="true" outlineLevel="0" collapsed="false">
      <c r="B23" s="11" t="s">
        <v>167</v>
      </c>
      <c r="C23" s="31" t="n">
        <f aca="false">G14*(1+C8)</f>
        <v>5937.91475923689</v>
      </c>
    </row>
    <row r="24" customFormat="false" ht="15" hidden="false" customHeight="true" outlineLevel="0" collapsed="false">
      <c r="B24" s="11" t="s">
        <v>168</v>
      </c>
      <c r="C24" s="31" t="n">
        <f aca="false">C23/(C7-C8)</f>
        <v>67449.4775854704</v>
      </c>
    </row>
    <row r="25" customFormat="false" ht="15" hidden="false" customHeight="true" outlineLevel="0" collapsed="false">
      <c r="B25" s="4" t="s">
        <v>169</v>
      </c>
      <c r="C25" s="46" t="n">
        <f aca="false">C24*G15</f>
        <v>39485.2129338306</v>
      </c>
    </row>
    <row r="27" customFormat="false" ht="15" hidden="false" customHeight="true" outlineLevel="0" collapsed="false">
      <c r="B27" s="4" t="s">
        <v>170</v>
      </c>
    </row>
    <row r="28" customFormat="false" ht="15" hidden="false" customHeight="true" outlineLevel="0" collapsed="false">
      <c r="B28" s="11" t="s">
        <v>171</v>
      </c>
      <c r="C28" s="30" t="n">
        <f aca="false">'P&amp;L'!J21</f>
        <v>9241.18908465073</v>
      </c>
    </row>
    <row r="29" customFormat="false" ht="15" hidden="false" customHeight="true" outlineLevel="0" collapsed="false">
      <c r="B29" s="11" t="s">
        <v>172</v>
      </c>
      <c r="C29" s="31" t="n">
        <f aca="false">C28*C9</f>
        <v>166341.403523713</v>
      </c>
    </row>
    <row r="30" customFormat="false" ht="15" hidden="false" customHeight="true" outlineLevel="0" collapsed="false">
      <c r="B30" s="4" t="s">
        <v>173</v>
      </c>
      <c r="C30" s="46" t="n">
        <f aca="false">C29*G15</f>
        <v>97376.9697403988</v>
      </c>
    </row>
    <row r="32" customFormat="false" ht="15" hidden="false" customHeight="true" outlineLevel="0" collapsed="false">
      <c r="B32" s="6" t="s">
        <v>174</v>
      </c>
    </row>
    <row r="34" customFormat="false" ht="15" hidden="false" customHeight="true" outlineLevel="0" collapsed="false">
      <c r="B34" s="4" t="s">
        <v>175</v>
      </c>
      <c r="C34" s="35" t="n">
        <f aca="false">C18+C25</f>
        <v>51480.6499564027</v>
      </c>
    </row>
    <row r="35" customFormat="false" ht="15" hidden="false" customHeight="true" outlineLevel="0" collapsed="false">
      <c r="B35" s="11" t="s">
        <v>176</v>
      </c>
      <c r="C35" s="31" t="n">
        <f aca="false">C18+C30</f>
        <v>109372.406762971</v>
      </c>
    </row>
    <row r="37" customFormat="false" ht="15" hidden="false" customHeight="true" outlineLevel="0" collapsed="false">
      <c r="B37" s="6" t="s">
        <v>177</v>
      </c>
    </row>
    <row r="39" customFormat="false" ht="15" hidden="false" customHeight="true" outlineLevel="0" collapsed="false">
      <c r="B39" s="11" t="s">
        <v>178</v>
      </c>
      <c r="C39" s="46" t="n">
        <f aca="false">C34</f>
        <v>51480.6499564027</v>
      </c>
    </row>
    <row r="40" customFormat="false" ht="15" hidden="false" customHeight="true" outlineLevel="0" collapsed="false">
      <c r="B40" s="11" t="s">
        <v>179</v>
      </c>
      <c r="C40" s="23" t="n">
        <v>-2750</v>
      </c>
    </row>
    <row r="41" customFormat="false" ht="15" hidden="false" customHeight="true" outlineLevel="0" collapsed="false">
      <c r="B41" s="11" t="s">
        <v>180</v>
      </c>
      <c r="C41" s="23" t="n">
        <v>-1500</v>
      </c>
    </row>
    <row r="42" customFormat="false" ht="15" hidden="false" customHeight="true" outlineLevel="0" collapsed="false">
      <c r="B42" s="11" t="s">
        <v>181</v>
      </c>
      <c r="C42" s="23" t="n">
        <v>-1118</v>
      </c>
    </row>
    <row r="43" customFormat="false" ht="15" hidden="false" customHeight="true" outlineLevel="0" collapsed="false">
      <c r="B43" s="11" t="s">
        <v>182</v>
      </c>
      <c r="C43" s="23" t="n">
        <v>8848</v>
      </c>
    </row>
    <row r="44" customFormat="false" ht="15" hidden="false" customHeight="true" outlineLevel="0" collapsed="false">
      <c r="B44" s="11" t="s">
        <v>183</v>
      </c>
      <c r="C44" s="23" t="n">
        <v>1834</v>
      </c>
    </row>
    <row r="45" customFormat="false" ht="15" hidden="false" customHeight="true" outlineLevel="0" collapsed="false">
      <c r="B45" s="32" t="s">
        <v>184</v>
      </c>
      <c r="C45" s="38" t="n">
        <f aca="false">SUM(C39:C44)</f>
        <v>56794.6499564027</v>
      </c>
    </row>
    <row r="47" customFormat="false" ht="15" hidden="false" customHeight="true" outlineLevel="0" collapsed="false">
      <c r="B47" s="11" t="s">
        <v>185</v>
      </c>
      <c r="C47" s="40" t="n">
        <v>260</v>
      </c>
    </row>
    <row r="48" customFormat="false" ht="15" hidden="false" customHeight="true" outlineLevel="0" collapsed="false">
      <c r="B48" s="34" t="s">
        <v>186</v>
      </c>
      <c r="C48" s="47" t="n">
        <f aca="false">C45/C47</f>
        <v>218.44096137078</v>
      </c>
    </row>
    <row r="50" customFormat="false" ht="15" hidden="false" customHeight="true" outlineLevel="0" collapsed="false">
      <c r="B50" s="11" t="s">
        <v>187</v>
      </c>
      <c r="C50" s="48" t="n">
        <v>995</v>
      </c>
    </row>
    <row r="51" customFormat="false" ht="15" hidden="false" customHeight="true" outlineLevel="0" collapsed="false">
      <c r="B51" s="4" t="s">
        <v>188</v>
      </c>
      <c r="C51" s="49" t="n">
        <f aca="false">C48/C50-1</f>
        <v>-0.780461345356001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2"/>
    <col collapsed="false" customWidth="true" hidden="false" outlineLevel="0" max="10" min="3" style="1" width="13"/>
    <col collapsed="false" customWidth="true" hidden="false" outlineLevel="0" max="11" min="11" style="1" width="14"/>
  </cols>
  <sheetData>
    <row r="2" customFormat="false" ht="17.25" hidden="false" customHeight="true" outlineLevel="0" collapsed="false">
      <c r="B2" s="16" t="s">
        <v>189</v>
      </c>
    </row>
    <row r="3" customFormat="false" ht="15" hidden="false" customHeight="true" outlineLevel="0" collapsed="false">
      <c r="B3" s="17" t="s">
        <v>190</v>
      </c>
    </row>
    <row r="5" customFormat="false" ht="15" hidden="false" customHeight="true" outlineLevel="0" collapsed="false">
      <c r="B5" s="18" t="s">
        <v>51</v>
      </c>
      <c r="C5" s="29" t="s">
        <v>52</v>
      </c>
      <c r="D5" s="29" t="s">
        <v>53</v>
      </c>
      <c r="E5" s="29" t="s">
        <v>54</v>
      </c>
      <c r="F5" s="29" t="s">
        <v>55</v>
      </c>
      <c r="G5" s="29" t="s">
        <v>56</v>
      </c>
      <c r="H5" s="29" t="s">
        <v>57</v>
      </c>
      <c r="I5" s="29" t="s">
        <v>58</v>
      </c>
      <c r="J5" s="29" t="s">
        <v>59</v>
      </c>
    </row>
    <row r="7" customFormat="false" ht="15" hidden="false" customHeight="true" outlineLevel="0" collapsed="false">
      <c r="B7" s="6" t="s">
        <v>191</v>
      </c>
    </row>
    <row r="9" customFormat="false" ht="15" hidden="false" customHeight="true" outlineLevel="0" collapsed="false">
      <c r="B9" s="11" t="s">
        <v>61</v>
      </c>
      <c r="C9" s="22" t="n">
        <v>13220</v>
      </c>
      <c r="D9" s="22" t="n">
        <v>14465</v>
      </c>
      <c r="E9" s="22" t="n">
        <v>16006</v>
      </c>
    </row>
    <row r="10" customFormat="false" ht="15" hidden="false" customHeight="true" outlineLevel="0" collapsed="false">
      <c r="B10" s="11" t="s">
        <v>62</v>
      </c>
      <c r="C10" s="22" t="n">
        <v>827</v>
      </c>
      <c r="D10" s="22" t="n">
        <v>819</v>
      </c>
      <c r="E10" s="22" t="n">
        <v>1018</v>
      </c>
    </row>
    <row r="11" customFormat="false" ht="15" hidden="false" customHeight="true" outlineLevel="0" collapsed="false">
      <c r="B11" s="11" t="s">
        <v>63</v>
      </c>
      <c r="C11" s="22" t="n">
        <v>887</v>
      </c>
      <c r="D11" s="22" t="n">
        <v>781</v>
      </c>
      <c r="E11" s="22" t="n">
        <v>806</v>
      </c>
    </row>
    <row r="12" customFormat="false" ht="15" hidden="false" customHeight="true" outlineLevel="0" collapsed="false">
      <c r="B12" s="11" t="s">
        <v>64</v>
      </c>
      <c r="C12" s="22" t="n">
        <v>2502</v>
      </c>
      <c r="D12" s="22" t="n">
        <v>2063</v>
      </c>
      <c r="E12" s="22" t="n">
        <v>1937</v>
      </c>
    </row>
    <row r="13" customFormat="false" ht="15" hidden="false" customHeight="true" outlineLevel="0" collapsed="false">
      <c r="B13" s="32" t="s">
        <v>112</v>
      </c>
      <c r="C13" s="50" t="n">
        <v>17436</v>
      </c>
      <c r="D13" s="50" t="n">
        <v>18127</v>
      </c>
      <c r="E13" s="50" t="n">
        <v>19767</v>
      </c>
    </row>
    <row r="14" customFormat="false" ht="15" hidden="false" customHeight="true" outlineLevel="0" collapsed="false">
      <c r="B14" s="11" t="s">
        <v>65</v>
      </c>
      <c r="C14" s="22" t="n">
        <v>7761</v>
      </c>
      <c r="D14" s="22" t="n">
        <v>7781</v>
      </c>
      <c r="E14" s="22" t="n">
        <v>8241</v>
      </c>
    </row>
    <row r="15" customFormat="false" ht="15" hidden="false" customHeight="true" outlineLevel="0" collapsed="false">
      <c r="B15" s="11" t="s">
        <v>66</v>
      </c>
      <c r="C15" s="22" t="n">
        <v>1455</v>
      </c>
      <c r="D15" s="22" t="n">
        <v>1377</v>
      </c>
      <c r="E15" s="22" t="n">
        <v>652</v>
      </c>
    </row>
    <row r="16" customFormat="false" ht="15" hidden="false" customHeight="true" outlineLevel="0" collapsed="false">
      <c r="B16" s="11" t="s">
        <v>67</v>
      </c>
      <c r="C16" s="22" t="n">
        <v>610</v>
      </c>
      <c r="D16" s="22" t="n">
        <v>542</v>
      </c>
      <c r="E16" s="22" t="n">
        <v>217</v>
      </c>
    </row>
    <row r="17" customFormat="false" ht="15" hidden="false" customHeight="true" outlineLevel="0" collapsed="false">
      <c r="B17" s="32" t="s">
        <v>113</v>
      </c>
      <c r="C17" s="50" t="n">
        <v>9826</v>
      </c>
      <c r="D17" s="50" t="n">
        <v>9701</v>
      </c>
      <c r="E17" s="50" t="n">
        <v>9110</v>
      </c>
    </row>
    <row r="18" customFormat="false" ht="15" hidden="false" customHeight="true" outlineLevel="0" collapsed="false">
      <c r="B18" s="11" t="s">
        <v>68</v>
      </c>
      <c r="C18" s="22" t="n">
        <v>3955</v>
      </c>
      <c r="D18" s="22" t="n">
        <v>4957</v>
      </c>
      <c r="E18" s="22" t="n">
        <v>6620</v>
      </c>
    </row>
    <row r="19" customFormat="false" ht="15" hidden="false" customHeight="true" outlineLevel="0" collapsed="false">
      <c r="B19" s="11" t="s">
        <v>69</v>
      </c>
      <c r="C19" s="22" t="n">
        <v>1548</v>
      </c>
      <c r="D19" s="22" t="n">
        <v>1676</v>
      </c>
      <c r="E19" s="22" t="n">
        <v>2049</v>
      </c>
    </row>
    <row r="20" customFormat="false" ht="15" hidden="false" customHeight="true" outlineLevel="0" collapsed="false">
      <c r="B20" s="11" t="s">
        <v>70</v>
      </c>
      <c r="C20" s="22" t="n">
        <v>874</v>
      </c>
      <c r="D20" s="22" t="n">
        <v>917</v>
      </c>
      <c r="E20" s="22" t="n">
        <v>973</v>
      </c>
    </row>
    <row r="21" customFormat="false" ht="15" hidden="false" customHeight="true" outlineLevel="0" collapsed="false">
      <c r="B21" s="32" t="s">
        <v>114</v>
      </c>
      <c r="C21" s="50" t="n">
        <v>6378</v>
      </c>
      <c r="D21" s="50" t="n">
        <v>7550</v>
      </c>
      <c r="E21" s="50" t="n">
        <v>9642</v>
      </c>
    </row>
    <row r="22" customFormat="false" ht="15" hidden="false" customHeight="true" outlineLevel="0" collapsed="false">
      <c r="B22" s="32" t="s">
        <v>115</v>
      </c>
      <c r="C22" s="50" t="n">
        <v>-401</v>
      </c>
      <c r="D22" s="50" t="n">
        <v>-442</v>
      </c>
      <c r="E22" s="50" t="n">
        <v>-451</v>
      </c>
    </row>
    <row r="23" customFormat="false" ht="15" hidden="false" customHeight="true" outlineLevel="0" collapsed="false">
      <c r="B23" s="32" t="s">
        <v>145</v>
      </c>
      <c r="C23" s="50" t="n">
        <v>33239</v>
      </c>
      <c r="D23" s="50" t="n">
        <v>34935</v>
      </c>
      <c r="E23" s="50" t="n">
        <v>38068</v>
      </c>
    </row>
    <row r="25" customFormat="false" ht="15" hidden="false" customHeight="true" outlineLevel="0" collapsed="false">
      <c r="B25" s="6" t="s">
        <v>125</v>
      </c>
    </row>
    <row r="27" customFormat="false" ht="15" hidden="false" customHeight="true" outlineLevel="0" collapsed="false">
      <c r="B27" s="11" t="s">
        <v>192</v>
      </c>
      <c r="C27" s="22" t="n">
        <v>1722</v>
      </c>
      <c r="D27" s="22" t="n">
        <v>2268</v>
      </c>
      <c r="E27" s="22" t="n">
        <v>2902</v>
      </c>
    </row>
    <row r="28" customFormat="false" ht="15" hidden="false" customHeight="true" outlineLevel="0" collapsed="false">
      <c r="B28" s="11" t="s">
        <v>193</v>
      </c>
      <c r="C28" s="22" t="n">
        <v>-1033</v>
      </c>
      <c r="D28" s="22" t="n">
        <v>-588</v>
      </c>
      <c r="E28" s="22" t="n">
        <v>-598</v>
      </c>
    </row>
    <row r="29" customFormat="false" ht="15" hidden="false" customHeight="true" outlineLevel="0" collapsed="false">
      <c r="B29" s="11" t="s">
        <v>194</v>
      </c>
      <c r="C29" s="22" t="n">
        <v>234</v>
      </c>
      <c r="D29" s="22" t="n">
        <v>679</v>
      </c>
      <c r="E29" s="22" t="n">
        <v>1433</v>
      </c>
    </row>
    <row r="30" customFormat="false" ht="15" hidden="false" customHeight="true" outlineLevel="0" collapsed="false">
      <c r="B30" s="11" t="s">
        <v>129</v>
      </c>
      <c r="C30" s="22" t="n">
        <v>-116</v>
      </c>
      <c r="D30" s="22" t="n">
        <v>-323</v>
      </c>
      <c r="E30" s="22" t="n">
        <v>-541</v>
      </c>
    </row>
    <row r="31" customFormat="false" ht="15" hidden="false" customHeight="true" outlineLevel="0" collapsed="false">
      <c r="B31" s="32" t="s">
        <v>130</v>
      </c>
      <c r="C31" s="50" t="n">
        <v>807</v>
      </c>
      <c r="D31" s="50" t="n">
        <v>2035</v>
      </c>
      <c r="E31" s="50" t="n">
        <v>3196</v>
      </c>
    </row>
    <row r="34" customFormat="false" ht="15" hidden="false" customHeight="true" outlineLevel="0" collapsed="false">
      <c r="B34" s="6" t="s">
        <v>195</v>
      </c>
    </row>
    <row r="36" customFormat="false" ht="15" hidden="false" customHeight="true" outlineLevel="0" collapsed="false">
      <c r="B36" s="11" t="s">
        <v>196</v>
      </c>
      <c r="C36" s="22" t="n">
        <v>18258</v>
      </c>
      <c r="D36" s="22" t="n">
        <v>18952</v>
      </c>
      <c r="E36" s="22" t="n">
        <v>20934</v>
      </c>
    </row>
    <row r="37" customFormat="false" ht="15" hidden="false" customHeight="true" outlineLevel="0" collapsed="false">
      <c r="B37" s="11" t="s">
        <v>197</v>
      </c>
      <c r="C37" s="22" t="n">
        <v>14981</v>
      </c>
      <c r="D37" s="22" t="n">
        <v>15983</v>
      </c>
      <c r="E37" s="22" t="n">
        <v>17134</v>
      </c>
    </row>
    <row r="38" customFormat="false" ht="15" hidden="false" customHeight="true" outlineLevel="0" collapsed="false">
      <c r="B38" s="11" t="s">
        <v>198</v>
      </c>
      <c r="C38" s="22" t="n">
        <v>18705</v>
      </c>
      <c r="D38" s="22" t="n">
        <v>17989</v>
      </c>
      <c r="E38" s="22" t="n">
        <v>18759</v>
      </c>
    </row>
    <row r="39" customFormat="false" ht="15" hidden="false" customHeight="true" outlineLevel="0" collapsed="false">
      <c r="B39" s="11" t="s">
        <v>199</v>
      </c>
      <c r="C39" s="22" t="n">
        <v>9716</v>
      </c>
      <c r="D39" s="22" t="n">
        <v>10861</v>
      </c>
      <c r="E39" s="22" t="n">
        <v>11774</v>
      </c>
    </row>
    <row r="40" customFormat="false" ht="15" hidden="false" customHeight="true" outlineLevel="0" collapsed="false">
      <c r="B40" s="11" t="s">
        <v>200</v>
      </c>
      <c r="C40" s="22" t="n">
        <v>4818</v>
      </c>
      <c r="D40" s="22" t="n">
        <v>6085</v>
      </c>
      <c r="E40" s="22" t="n">
        <v>7535</v>
      </c>
    </row>
    <row r="41" customFormat="false" ht="15" hidden="false" customHeight="true" outlineLevel="0" collapsed="false">
      <c r="B41" s="11" t="s">
        <v>201</v>
      </c>
      <c r="C41" s="22" t="n">
        <v>4845</v>
      </c>
      <c r="D41" s="22" t="n">
        <v>4632</v>
      </c>
      <c r="E41" s="22" t="n">
        <v>4949</v>
      </c>
    </row>
    <row r="42" customFormat="false" ht="15" hidden="false" customHeight="true" outlineLevel="0" collapsed="false">
      <c r="B42" s="11" t="s">
        <v>202</v>
      </c>
      <c r="C42" s="22" t="n">
        <v>896</v>
      </c>
      <c r="D42" s="22" t="n">
        <v>982</v>
      </c>
      <c r="E42" s="22" t="n">
        <v>1197</v>
      </c>
    </row>
    <row r="43" customFormat="false" ht="15" hidden="false" customHeight="true" outlineLevel="0" collapsed="false">
      <c r="B43" s="11" t="s">
        <v>203</v>
      </c>
      <c r="C43" s="22" t="n">
        <v>-923</v>
      </c>
      <c r="D43" s="22" t="n">
        <v>471</v>
      </c>
      <c r="E43" s="22" t="n">
        <v>1388</v>
      </c>
    </row>
    <row r="44" customFormat="false" ht="15" hidden="false" customHeight="true" outlineLevel="0" collapsed="false">
      <c r="B44" s="11" t="s">
        <v>204</v>
      </c>
      <c r="C44" s="22" t="n">
        <v>567</v>
      </c>
      <c r="D44" s="22" t="n">
        <v>536</v>
      </c>
      <c r="E44" s="22" t="n">
        <v>459</v>
      </c>
    </row>
    <row r="45" customFormat="false" ht="15" hidden="false" customHeight="true" outlineLevel="0" collapsed="false">
      <c r="B45" s="11" t="s">
        <v>205</v>
      </c>
      <c r="C45" s="22" t="n">
        <v>-98</v>
      </c>
      <c r="D45" s="22" t="n">
        <v>120</v>
      </c>
      <c r="E45" s="22" t="n">
        <v>186</v>
      </c>
    </row>
    <row r="46" customFormat="false" ht="15" hidden="false" customHeight="true" outlineLevel="0" collapsed="false">
      <c r="B46" s="11" t="s">
        <v>206</v>
      </c>
      <c r="C46" s="22" t="n">
        <v>324</v>
      </c>
      <c r="D46" s="22" t="n">
        <v>1372</v>
      </c>
      <c r="E46" s="22" t="n">
        <v>795</v>
      </c>
    </row>
    <row r="47" customFormat="false" ht="15" hidden="false" customHeight="true" outlineLevel="0" collapsed="false">
      <c r="B47" s="11" t="s">
        <v>138</v>
      </c>
      <c r="C47" s="22" t="n">
        <v>-130</v>
      </c>
      <c r="D47" s="22" t="n">
        <v>2498</v>
      </c>
      <c r="E47" s="22" t="n">
        <v>2828</v>
      </c>
    </row>
    <row r="48" customFormat="false" ht="15" hidden="false" customHeight="true" outlineLevel="0" collapsed="false">
      <c r="B48" s="11" t="s">
        <v>207</v>
      </c>
      <c r="C48" s="22" t="n">
        <v>344</v>
      </c>
      <c r="D48" s="22" t="n">
        <v>939</v>
      </c>
      <c r="E48" s="22" t="n">
        <v>-2051</v>
      </c>
    </row>
    <row r="49" customFormat="false" ht="15" hidden="false" customHeight="true" outlineLevel="0" collapsed="false">
      <c r="B49" s="11" t="s">
        <v>208</v>
      </c>
      <c r="C49" s="22" t="n">
        <v>-474</v>
      </c>
      <c r="D49" s="22" t="n">
        <v>1559</v>
      </c>
      <c r="E49" s="22" t="n">
        <v>4879</v>
      </c>
    </row>
    <row r="50" customFormat="false" ht="15" hidden="false" customHeight="true" outlineLevel="0" collapsed="false">
      <c r="B50" s="11" t="s">
        <v>209</v>
      </c>
      <c r="C50" s="22" t="n">
        <v>964</v>
      </c>
      <c r="D50" s="22" t="n">
        <v>1172</v>
      </c>
      <c r="E50" s="22" t="n">
        <v>853</v>
      </c>
    </row>
    <row r="52" customFormat="false" ht="15" hidden="false" customHeight="true" outlineLevel="0" collapsed="false">
      <c r="B52" s="6" t="s">
        <v>210</v>
      </c>
    </row>
    <row r="54" customFormat="false" ht="15" hidden="false" customHeight="true" outlineLevel="0" collapsed="false">
      <c r="B54" s="11" t="s">
        <v>211</v>
      </c>
      <c r="C54" s="22" t="n">
        <v>1186</v>
      </c>
      <c r="D54" s="22" t="n">
        <v>2583</v>
      </c>
      <c r="E54" s="22" t="n">
        <v>4987</v>
      </c>
    </row>
    <row r="55" customFormat="false" ht="15" hidden="false" customHeight="true" outlineLevel="0" collapsed="false">
      <c r="B55" s="11" t="s">
        <v>212</v>
      </c>
      <c r="C55" s="22" t="n">
        <v>-744</v>
      </c>
      <c r="D55" s="22" t="n">
        <v>-883</v>
      </c>
      <c r="E55" s="22" t="n">
        <v>-1277</v>
      </c>
    </row>
    <row r="56" customFormat="false" ht="15" hidden="false" customHeight="true" outlineLevel="0" collapsed="false">
      <c r="B56" s="4" t="s">
        <v>213</v>
      </c>
      <c r="C56" s="51" t="n">
        <v>442</v>
      </c>
      <c r="D56" s="51" t="n">
        <v>1700</v>
      </c>
      <c r="E56" s="51" t="n">
        <v>3710</v>
      </c>
    </row>
    <row r="57" customFormat="false" ht="15" hidden="false" customHeight="true" outlineLevel="0" collapsed="false">
      <c r="B57" s="11" t="s">
        <v>214</v>
      </c>
      <c r="C57" s="22" t="n">
        <v>0</v>
      </c>
      <c r="D57" s="22" t="n">
        <v>-43</v>
      </c>
      <c r="E57" s="22" t="n">
        <v>-3316</v>
      </c>
    </row>
    <row r="58" customFormat="false" ht="15" hidden="false" customHeight="true" outlineLevel="0" collapsed="false">
      <c r="B58" s="11" t="s">
        <v>215</v>
      </c>
      <c r="C58" s="22" t="n">
        <v>0</v>
      </c>
      <c r="D58" s="22" t="n">
        <v>0</v>
      </c>
      <c r="E58" s="22" t="n">
        <v>-275</v>
      </c>
    </row>
    <row r="61" customFormat="false" ht="15" hidden="false" customHeight="true" outlineLevel="0" collapsed="false">
      <c r="B61" s="6" t="s">
        <v>216</v>
      </c>
    </row>
    <row r="63" customFormat="false" ht="15" hidden="false" customHeight="true" outlineLevel="0" collapsed="false">
      <c r="B63" s="11" t="s">
        <v>217</v>
      </c>
      <c r="C63" s="52" t="n">
        <v>274</v>
      </c>
      <c r="D63" s="52" t="n">
        <v>278</v>
      </c>
      <c r="E63" s="52" t="n">
        <v>276</v>
      </c>
    </row>
    <row r="64" customFormat="false" ht="15" hidden="false" customHeight="true" outlineLevel="0" collapsed="false">
      <c r="B64" s="11" t="s">
        <v>218</v>
      </c>
      <c r="D64" s="52" t="n">
        <v>275.9</v>
      </c>
      <c r="E64" s="52" t="n">
        <v>269.5</v>
      </c>
    </row>
    <row r="65" customFormat="false" ht="15" hidden="false" customHeight="true" outlineLevel="0" collapsed="false">
      <c r="B65" s="11" t="s">
        <v>219</v>
      </c>
      <c r="C65" s="22" t="n">
        <v>1551</v>
      </c>
      <c r="D65" s="22" t="n">
        <v>8205</v>
      </c>
      <c r="E65" s="22" t="n">
        <v>8848</v>
      </c>
    </row>
    <row r="66" customFormat="false" ht="15" hidden="false" customHeight="true" outlineLevel="0" collapsed="false">
      <c r="B66" s="11" t="s">
        <v>220</v>
      </c>
      <c r="D66" s="22" t="n">
        <v>100</v>
      </c>
      <c r="E66" s="22" t="n">
        <v>100</v>
      </c>
    </row>
    <row r="67" customFormat="false" ht="15" hidden="false" customHeight="true" outlineLevel="0" collapsed="false">
      <c r="B67" s="11" t="s">
        <v>221</v>
      </c>
      <c r="C67" s="22" t="n">
        <v>8380</v>
      </c>
      <c r="D67" s="22" t="n">
        <v>10593</v>
      </c>
      <c r="E67" s="22" t="n">
        <v>12296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8" min="3" style="1" width="14"/>
  </cols>
  <sheetData>
    <row r="2" customFormat="false" ht="17.25" hidden="false" customHeight="true" outlineLevel="0" collapsed="false">
      <c r="B2" s="16" t="s">
        <v>222</v>
      </c>
    </row>
    <row r="3" customFormat="false" ht="15" hidden="false" customHeight="true" outlineLevel="0" collapsed="false">
      <c r="B3" s="17" t="s">
        <v>223</v>
      </c>
    </row>
    <row r="5" customFormat="false" ht="15" hidden="false" customHeight="true" outlineLevel="0" collapsed="false">
      <c r="B5" s="53" t="s">
        <v>224</v>
      </c>
      <c r="C5" s="53"/>
      <c r="D5" s="53"/>
      <c r="E5" s="53"/>
      <c r="F5" s="53"/>
      <c r="G5" s="53"/>
      <c r="H5" s="53"/>
    </row>
    <row r="6" customFormat="false" ht="15" hidden="false" customHeight="true" outlineLevel="0" collapsed="false">
      <c r="C6" s="54" t="s">
        <v>55</v>
      </c>
      <c r="D6" s="54" t="s">
        <v>56</v>
      </c>
      <c r="E6" s="54" t="s">
        <v>57</v>
      </c>
      <c r="F6" s="54" t="s">
        <v>58</v>
      </c>
      <c r="G6" s="54" t="s">
        <v>59</v>
      </c>
    </row>
    <row r="7" customFormat="false" ht="15" hidden="false" customHeight="true" outlineLevel="0" collapsed="false">
      <c r="B7" s="11" t="s">
        <v>225</v>
      </c>
      <c r="C7" s="30" t="n">
        <f aca="false">FCF!F20</f>
        <v>299.186722499999</v>
      </c>
      <c r="D7" s="30" t="n">
        <f aca="false">FCF!G20</f>
        <v>2669.6657791</v>
      </c>
      <c r="E7" s="30" t="n">
        <f aca="false">FCF!H20</f>
        <v>3991.6876934335</v>
      </c>
      <c r="F7" s="30" t="n">
        <f aca="false">FCF!I20</f>
        <v>5042.39238668437</v>
      </c>
      <c r="G7" s="30" t="n">
        <f aca="false">FCF!J20</f>
        <v>5793.08756998721</v>
      </c>
    </row>
    <row r="8" customFormat="false" ht="15" hidden="false" customHeight="true" outlineLevel="0" collapsed="false">
      <c r="B8" s="11" t="s">
        <v>226</v>
      </c>
      <c r="C8" s="30" t="n">
        <f aca="false">'P&amp;L'!J21</f>
        <v>9241.18908465073</v>
      </c>
    </row>
    <row r="10" customFormat="false" ht="15" hidden="false" customHeight="true" outlineLevel="0" collapsed="false">
      <c r="B10" s="53" t="s">
        <v>227</v>
      </c>
      <c r="C10" s="53"/>
      <c r="D10" s="53"/>
      <c r="E10" s="53"/>
      <c r="F10" s="53"/>
      <c r="G10" s="53"/>
      <c r="H10" s="53"/>
    </row>
    <row r="11" customFormat="false" ht="15" hidden="false" customHeight="true" outlineLevel="0" collapsed="false">
      <c r="B11" s="1" t="s">
        <v>228</v>
      </c>
      <c r="C11" s="22" t="n">
        <v>-2750</v>
      </c>
    </row>
    <row r="12" customFormat="false" ht="15" hidden="false" customHeight="true" outlineLevel="0" collapsed="false">
      <c r="B12" s="1" t="s">
        <v>180</v>
      </c>
      <c r="C12" s="22" t="n">
        <v>-1500</v>
      </c>
    </row>
    <row r="13" customFormat="false" ht="15" hidden="false" customHeight="true" outlineLevel="0" collapsed="false">
      <c r="B13" s="1" t="s">
        <v>181</v>
      </c>
      <c r="C13" s="22" t="n">
        <v>-1118</v>
      </c>
    </row>
    <row r="14" customFormat="false" ht="15" hidden="false" customHeight="true" outlineLevel="0" collapsed="false">
      <c r="B14" s="1" t="s">
        <v>229</v>
      </c>
      <c r="C14" s="22" t="n">
        <v>8848</v>
      </c>
    </row>
    <row r="15" customFormat="false" ht="15" hidden="false" customHeight="true" outlineLevel="0" collapsed="false">
      <c r="B15" s="1" t="s">
        <v>230</v>
      </c>
      <c r="C15" s="22" t="n">
        <v>1834</v>
      </c>
    </row>
    <row r="16" customFormat="false" ht="15" hidden="false" customHeight="true" outlineLevel="0" collapsed="false">
      <c r="B16" s="4" t="s">
        <v>231</v>
      </c>
      <c r="C16" s="46" t="n">
        <f aca="false">SUM(C11:C15)</f>
        <v>5314</v>
      </c>
    </row>
    <row r="17" customFormat="false" ht="15" hidden="false" customHeight="true" outlineLevel="0" collapsed="false">
      <c r="B17" s="1" t="s">
        <v>232</v>
      </c>
      <c r="C17" s="52" t="n">
        <v>260</v>
      </c>
    </row>
    <row r="20" customFormat="false" ht="15" hidden="false" customHeight="true" outlineLevel="0" collapsed="false">
      <c r="B20" s="53" t="s">
        <v>233</v>
      </c>
      <c r="C20" s="53"/>
      <c r="D20" s="53"/>
      <c r="E20" s="53"/>
      <c r="F20" s="53"/>
      <c r="G20" s="53"/>
      <c r="H20" s="53"/>
      <c r="I20" s="53"/>
      <c r="J20" s="53"/>
    </row>
    <row r="21" customFormat="false" ht="15" hidden="false" customHeight="true" outlineLevel="0" collapsed="false">
      <c r="B21" s="55" t="s">
        <v>234</v>
      </c>
    </row>
    <row r="23" customFormat="false" ht="15" hidden="false" customHeight="true" outlineLevel="0" collapsed="false">
      <c r="B23" s="54" t="s">
        <v>235</v>
      </c>
      <c r="C23" s="56" t="n">
        <v>0.095</v>
      </c>
      <c r="D23" s="56" t="n">
        <v>0.105</v>
      </c>
      <c r="E23" s="56" t="n">
        <v>0.113</v>
      </c>
      <c r="F23" s="56" t="n">
        <v>0.12</v>
      </c>
      <c r="G23" s="56" t="n">
        <v>0.13</v>
      </c>
    </row>
    <row r="24" customFormat="false" ht="15" hidden="false" customHeight="true" outlineLevel="0" collapsed="false">
      <c r="B24" s="56" t="n">
        <v>0.015</v>
      </c>
      <c r="C24" s="57" t="n">
        <f aca="false">IF(C23&lt;=B24,"-",((C7/(1+C23)^1 + D7/(1+C23)^2 + E7/(1+C23)^3 + F7/(1+C23)^4 + G7/(1+C23)^5)+G7*(1+B24)/(C23-B24)/(1+C23)^5+$C$16)/$C$17)</f>
        <v>248.963223726826</v>
      </c>
      <c r="D24" s="57" t="n">
        <f aca="false">IF(D23&lt;=B24,"-",((C7/(1+D23)^1 + D7/(1+D23)^2 + E7/(1+D23)^3 + F7/(1+D23)^4 + G7/(1+D23)^5)+G7*(1+B24)/(D23-B24)/(1+D23)^5+$C$16)/$C$17)</f>
        <v>220.328413208119</v>
      </c>
      <c r="E24" s="57" t="n">
        <f aca="false">IF(E23&lt;=B24,"-",((C7/(1+E23)^1 + D7/(1+E23)^2 + E7/(1+E23)^3 + F7/(1+E23)^4 + G7/(1+E23)^5)+G7*(1+B24)/(E23-B24)/(1+E23)^5+$C$16)/$C$17)</f>
        <v>201.69417027721</v>
      </c>
      <c r="F24" s="57" t="n">
        <f aca="false">IF(F23&lt;=B24,"-",((C7/(1+F23)^1 + D7/(1+F23)^2 + E7/(1+F23)^3 + F7/(1+F23)^4 + G7/(1+F23)^5)+G7*(1+B24)/(F23-B24)/(1+F23)^5+$C$16)/$C$17)</f>
        <v>187.761840318371</v>
      </c>
      <c r="G24" s="57" t="n">
        <f aca="false">IF(G23&lt;=B24,"-",((C7/(1+G23)^1 + D7/(1+G23)^2 + E7/(1+G23)^3 + F7/(1+G23)^4 + G7/(1+G23)^5)+G7*(1+B24)/(G23-B24)/(1+G23)^5+$C$16)/$C$17)</f>
        <v>170.862583397329</v>
      </c>
    </row>
    <row r="25" customFormat="false" ht="15" hidden="false" customHeight="true" outlineLevel="0" collapsed="false">
      <c r="B25" s="56" t="n">
        <v>0.02</v>
      </c>
      <c r="C25" s="57" t="n">
        <f aca="false">IF(C23&lt;=B25,"-",((C7/(1+C23)^1 + D7/(1+C23)^2 + E7/(1+C23)^3 + F7/(1+C23)^4 + G7/(1+C23)^5)+G7*(1+B25)/(C23-B25)/(1+C23)^5+$C$16)/$C$17)</f>
        <v>261.878360885745</v>
      </c>
      <c r="D25" s="57" t="n">
        <f aca="false">IF(D23&lt;=B25,"-",((C7/(1+D23)^1 + D7/(1+D23)^2 + E7/(1+D23)^3 + F7/(1+D23)^4 + G7/(1+D23)^5)+G7*(1+B25)/(D23-B25)/(1+D23)^5+$C$16)/$C$17)</f>
        <v>230.096200701661</v>
      </c>
      <c r="E25" s="57" t="n">
        <f aca="false">IF(E23&lt;=B25,"-",((C7/(1+E23)^1 + D7/(1+E23)^2 + E7/(1+E23)^3 + F7/(1+E23)^4 + G7/(1+E23)^5)+G7*(1+B25)/(E23-B25)/(1+E23)^5+$C$16)/$C$17)</f>
        <v>209.659744124687</v>
      </c>
      <c r="F25" s="57" t="n">
        <f aca="false">IF(F23&lt;=B25,"-",((C7/(1+F23)^1 + D7/(1+F23)^2 + E7/(1+F23)^3 + F7/(1+F23)^4 + G7/(1+F23)^5)+G7*(1+B25)/(F23-B25)/(1+F23)^5+$C$16)/$C$17)</f>
        <v>194.504719220402</v>
      </c>
      <c r="G25" s="57" t="n">
        <f aca="false">IF(G23&lt;=B25,"-",((C7/(1+G23)^1 + D7/(1+G23)^2 + E7/(1+G23)^3 + F7/(1+G23)^4 + G7/(1+G23)^5)+G7*(1+B25)/(G23-B25)/(1+G23)^5+$C$16)/$C$17)</f>
        <v>176.263935020558</v>
      </c>
    </row>
    <row r="26" customFormat="false" ht="15" hidden="false" customHeight="true" outlineLevel="0" collapsed="false">
      <c r="B26" s="56" t="n">
        <v>0.025</v>
      </c>
      <c r="C26" s="57" t="n">
        <f aca="false">IF(C23&lt;=B26,"-",((C7/(1+C23)^1 + D7/(1+C23)^2 + E7/(1+C23)^3 + F7/(1+C23)^4 + G7/(1+C23)^5)+G7*(1+B26)/(C23-B26)/(1+C23)^5+$C$16)/$C$17)</f>
        <v>276.638517638795</v>
      </c>
      <c r="D26" s="57" t="n">
        <f aca="false">IF(D23&lt;=B26,"-",((C7/(1+D23)^1 + D7/(1+D23)^2 + E7/(1+D23)^3 + F7/(1+D23)^4 + G7/(1+D23)^5)+G7*(1+B26)/(D23-B26)/(1+D23)^5+$C$16)/$C$17)</f>
        <v>241.084961631896</v>
      </c>
      <c r="E26" s="58" t="n">
        <f aca="false">IF(E23&lt;=B26,"-",((C7/(1+E23)^1 + D7/(1+E23)^2 + E7/(1+E23)^3 + F7/(1+E23)^4 + G7/(1+E23)^5)+G7*(1+B26)/(E23-B26)/(1+E23)^5+$C$16)/$C$17)</f>
        <v>218.530496818469</v>
      </c>
      <c r="F26" s="57" t="n">
        <f aca="false">IF(F23&lt;=B26,"-",((C7/(1+F23)^1 + D7/(1+F23)^2 + E7/(1+F23)^3 + F7/(1+F23)^4 + G7/(1+F23)^5)+G7*(1+B26)/(F23-B26)/(1+F23)^5+$C$16)/$C$17)</f>
        <v>201.957374848963</v>
      </c>
      <c r="G26" s="57" t="n">
        <f aca="false">IF(G23&lt;=B26,"-",((C7/(1+G23)^1 + D7/(1+G23)^2 + E7/(1+G23)^3 + F7/(1+G23)^4 + G7/(1+G23)^5)+G7*(1+B26)/(G23-B26)/(1+G23)^5+$C$16)/$C$17)</f>
        <v>182.179701084094</v>
      </c>
    </row>
    <row r="27" customFormat="false" ht="15" hidden="false" customHeight="true" outlineLevel="0" collapsed="false">
      <c r="B27" s="56" t="n">
        <v>0.03</v>
      </c>
      <c r="C27" s="57" t="n">
        <f aca="false">IF(C23&lt;=B27,"-",((C7/(1+C23)^1 + D7/(1+C23)^2 + E7/(1+C23)^3 + F7/(1+C23)^4 + G7/(1+C23)^5)+G7*(1+B27)/(C23-B27)/(1+C23)^5+$C$16)/$C$17)</f>
        <v>293.669467738469</v>
      </c>
      <c r="D27" s="57" t="n">
        <f aca="false">IF(D23&lt;=B27,"-",((C7/(1+D23)^1 + D7/(1+D23)^2 + E7/(1+D23)^3 + F7/(1+D23)^4 + G7/(1+D23)^5)+G7*(1+B27)/(D23-B27)/(1+D23)^5+$C$16)/$C$17)</f>
        <v>253.538890686162</v>
      </c>
      <c r="E27" s="57" t="n">
        <f aca="false">IF(E23&lt;=B27,"-",((C7/(1+E23)^1 + D7/(1+E23)^2 + E7/(1+E23)^3 + F7/(1+E23)^4 + G7/(1+E23)^5)+G7*(1+B27)/(E23-B27)/(1+E23)^5+$C$16)/$C$17)</f>
        <v>228.470014897044</v>
      </c>
      <c r="F27" s="57" t="n">
        <f aca="false">IF(F23&lt;=B27,"-",((C7/(1+F23)^1 + D7/(1+F23)^2 + E7/(1+F23)^3 + F7/(1+F23)^4 + G7/(1+F23)^5)+G7*(1+B27)/(F23-B27)/(1+F23)^5+$C$16)/$C$17)</f>
        <v>210.238103325142</v>
      </c>
      <c r="G27" s="57" t="n">
        <f aca="false">IF(G23&lt;=B27,"-",((C7/(1+G23)^1 + D7/(1+G23)^2 + E7/(1+G23)^3 + F7/(1+G23)^4 + G7/(1+G23)^5)+G7*(1+B27)/(G23-B27)/(1+G23)^5+$C$16)/$C$17)</f>
        <v>188.687043753983</v>
      </c>
    </row>
    <row r="28" customFormat="false" ht="15" hidden="false" customHeight="true" outlineLevel="0" collapsed="false">
      <c r="B28" s="56" t="n">
        <v>0.035</v>
      </c>
      <c r="C28" s="57" t="n">
        <f aca="false">IF(C23&lt;=B28,"-",((C7/(1+C23)^1 + D7/(1+C23)^2 + E7/(1+C23)^3 + F7/(1+C23)^4 + G7/(1+C23)^5)+G7*(1+B28)/(C23-B28)/(1+C23)^5+$C$16)/$C$17)</f>
        <v>313.538909521421</v>
      </c>
      <c r="D28" s="57" t="n">
        <f aca="false">IF(D23&lt;=B28,"-",((C7/(1+D23)^1 + D7/(1+D23)^2 + E7/(1+D23)^3 + F7/(1+D23)^4 + G7/(1+D23)^5)+G7*(1+B28)/(D23-B28)/(1+D23)^5+$C$16)/$C$17)</f>
        <v>267.771952462466</v>
      </c>
      <c r="E28" s="57" t="n">
        <f aca="false">IF(E23&lt;=B28,"-",((C7/(1+E23)^1 + D7/(1+E23)^2 + E7/(1+E23)^3 + F7/(1+E23)^4 + G7/(1+E23)^5)+G7*(1+B28)/(E23-B28)/(1+E23)^5+$C$16)/$C$17)</f>
        <v>239.68383016518</v>
      </c>
      <c r="F28" s="57" t="n">
        <f aca="false">IF(F23&lt;=B28,"-",((C7/(1+F23)^1 + D7/(1+F23)^2 + E7/(1+F23)^3 + F7/(1+F23)^4 + G7/(1+F23)^5)+G7*(1+B28)/(F23-B28)/(1+F23)^5+$C$16)/$C$17)</f>
        <v>219.49303515146</v>
      </c>
      <c r="G28" s="57" t="n">
        <f aca="false">IF(G23&lt;=B28,"-",((C7/(1+G23)^1 + D7/(1+G23)^2 + E7/(1+G23)^3 + F7/(1+G23)^4 + G7/(1+G23)^5)+G7*(1+B28)/(G23-B28)/(1+G23)^5+$C$16)/$C$17)</f>
        <v>195.879369862809</v>
      </c>
    </row>
    <row r="30" customFormat="false" ht="15" hidden="false" customHeight="true" outlineLevel="0" collapsed="false">
      <c r="B30" s="55" t="s">
        <v>236</v>
      </c>
    </row>
    <row r="31" customFormat="false" ht="15" hidden="false" customHeight="true" outlineLevel="0" collapsed="false">
      <c r="B31" s="55" t="s">
        <v>237</v>
      </c>
    </row>
    <row r="34" customFormat="false" ht="15" hidden="false" customHeight="true" outlineLevel="0" collapsed="false">
      <c r="B34" s="53" t="s">
        <v>238</v>
      </c>
      <c r="C34" s="53"/>
      <c r="D34" s="53"/>
      <c r="E34" s="53"/>
      <c r="F34" s="53"/>
      <c r="G34" s="53"/>
      <c r="H34" s="53"/>
      <c r="I34" s="53"/>
      <c r="J34" s="53"/>
    </row>
    <row r="35" customFormat="false" ht="15" hidden="false" customHeight="true" outlineLevel="0" collapsed="false">
      <c r="B35" s="55" t="s">
        <v>239</v>
      </c>
    </row>
    <row r="37" customFormat="false" ht="15" hidden="false" customHeight="true" outlineLevel="0" collapsed="false">
      <c r="B37" s="54" t="s">
        <v>240</v>
      </c>
      <c r="C37" s="56" t="n">
        <v>0.095</v>
      </c>
      <c r="D37" s="56" t="n">
        <v>0.105</v>
      </c>
      <c r="E37" s="56" t="n">
        <v>0.113</v>
      </c>
      <c r="F37" s="56" t="n">
        <v>0.12</v>
      </c>
      <c r="G37" s="56" t="n">
        <v>0.13</v>
      </c>
    </row>
    <row r="38" customFormat="false" ht="15" hidden="false" customHeight="true" outlineLevel="0" collapsed="false">
      <c r="B38" s="59" t="n">
        <v>12</v>
      </c>
      <c r="C38" s="57" t="n">
        <f aca="false">((C7/(1+C37)^1 + D7/(1+C37)^2 + E7/(1+C37)^3 + F7/(1+C37)^4 + G7/(1+C37)^5)+$C$8*B38/(1+C37)^5+$C$16)/$C$17</f>
        <v>340.324770542686</v>
      </c>
      <c r="D38" s="57" t="n">
        <f aca="false">((C7/(1+D37)^1 + D7/(1+D37)^2 + E7/(1+D37)^3 + F7/(1+D37)^4 + G7/(1+D37)^5)+$C$8*B38/(1+D37)^5+$C$16)/$C$17</f>
        <v>326.696072770826</v>
      </c>
      <c r="E38" s="57" t="n">
        <f aca="false">((C7/(1+E37)^1 + D7/(1+E37)^2 + E7/(1+E37)^3 + F7/(1+E37)^4 + G7/(1+E37)^5)+$C$8*B38/(1+E37)^5+$C$16)/$C$17</f>
        <v>316.30380140264</v>
      </c>
      <c r="F38" s="57" t="n">
        <f aca="false">((C7/(1+F37)^1 + D7/(1+F37)^2 + E7/(1+F37)^3 + F7/(1+F37)^4 + G7/(1+F37)^5)+$C$8*B38/(1+F37)^5+$C$16)/$C$17</f>
        <v>307.564030930023</v>
      </c>
      <c r="G38" s="57" t="n">
        <f aca="false">((C7/(1+G37)^1 + D7/(1+G37)^2 + E7/(1+G37)^3 + F7/(1+G37)^4 + G7/(1+G37)^5)+$C$8*B38/(1+G37)^5+$C$16)/$C$17</f>
        <v>295.622163811113</v>
      </c>
    </row>
    <row r="39" customFormat="false" ht="15" hidden="false" customHeight="true" outlineLevel="0" collapsed="false">
      <c r="B39" s="59" t="n">
        <v>15</v>
      </c>
      <c r="C39" s="57" t="n">
        <f aca="false">((C7/(1+C37)^1 + D7/(1+C37)^2 + E7/(1+C37)^3 + F7/(1+C37)^4 + G7/(1+C37)^5)+$C$8*B39/(1+C37)^5+$C$16)/$C$17</f>
        <v>408.058527850427</v>
      </c>
      <c r="D39" s="57" t="n">
        <f aca="false">((C7/(1+D37)^1 + D7/(1+D37)^2 + E7/(1+D37)^3 + F7/(1+D37)^4 + G7/(1+D37)^5)+$C$8*B39/(1+D37)^5+$C$16)/$C$17</f>
        <v>391.419927299753</v>
      </c>
      <c r="E39" s="57" t="n">
        <f aca="false">((C7/(1+E37)^1 + D7/(1+E37)^2 + E7/(1+E37)^3 + F7/(1+E37)^4 + G7/(1+E37)^5)+$C$8*B39/(1+E37)^5+$C$16)/$C$17</f>
        <v>378.734751112687</v>
      </c>
      <c r="F39" s="57" t="n">
        <f aca="false">((C7/(1+F37)^1 + D7/(1+F37)^2 + E7/(1+F37)^3 + F7/(1+F37)^4 + G7/(1+F37)^5)+$C$8*B39/(1+F37)^5+$C$16)/$C$17</f>
        <v>368.068248607766</v>
      </c>
      <c r="G39" s="57" t="n">
        <f aca="false">((C7/(1+G37)^1 + D7/(1+G37)^2 + E7/(1+G37)^3 + F7/(1+G37)^4 + G7/(1+G37)^5)+$C$8*B39/(1+G37)^5+$C$16)/$C$17</f>
        <v>353.496169920465</v>
      </c>
    </row>
    <row r="40" customFormat="false" ht="15" hidden="false" customHeight="true" outlineLevel="0" collapsed="false">
      <c r="B40" s="59" t="n">
        <v>18</v>
      </c>
      <c r="C40" s="57" t="n">
        <f aca="false">((C7/(1+C37)^1 + D7/(1+C37)^2 + E7/(1+C37)^3 + F7/(1+C37)^4 + G7/(1+C37)^5)+$C$8*B40/(1+C37)^5+$C$16)/$C$17</f>
        <v>475.792285158168</v>
      </c>
      <c r="D40" s="57" t="n">
        <f aca="false">((C7/(1+D37)^1 + D7/(1+D37)^2 + E7/(1+D37)^3 + F7/(1+D37)^4 + G7/(1+D37)^5)+$C$8*B40/(1+D37)^5+$C$16)/$C$17</f>
        <v>456.143781828681</v>
      </c>
      <c r="E40" s="58" t="n">
        <f aca="false">((C7/(1+E37)^1 + D7/(1+E37)^2 + E7/(1+E37)^3 + F7/(1+E37)^4 + G7/(1+E37)^5)+$C$8*B40/(1+E37)^5+$C$16)/$C$17</f>
        <v>441.165700822734</v>
      </c>
      <c r="F40" s="57" t="n">
        <f aca="false">((C7/(1+F37)^1 + D7/(1+F37)^2 + E7/(1+F37)^3 + F7/(1+F37)^4 + G7/(1+F37)^5)+$C$8*B40/(1+F37)^5+$C$16)/$C$17</f>
        <v>428.572466285509</v>
      </c>
      <c r="G40" s="57" t="n">
        <f aca="false">((C7/(1+G37)^1 + D7/(1+G37)^2 + E7/(1+G37)^3 + F7/(1+G37)^4 + G7/(1+G37)^5)+$C$8*B40/(1+G37)^5+$C$16)/$C$17</f>
        <v>411.370176029817</v>
      </c>
    </row>
    <row r="41" customFormat="false" ht="15" hidden="false" customHeight="true" outlineLevel="0" collapsed="false">
      <c r="B41" s="59" t="n">
        <v>21</v>
      </c>
      <c r="C41" s="57" t="n">
        <f aca="false">((C7/(1+C37)^1 + D7/(1+C37)^2 + E7/(1+C37)^3 + F7/(1+C37)^4 + G7/(1+C37)^5)+$C$8*B41/(1+C37)^5+$C$16)/$C$17</f>
        <v>543.526042465909</v>
      </c>
      <c r="D41" s="57" t="n">
        <f aca="false">((C7/(1+D37)^1 + D7/(1+D37)^2 + E7/(1+D37)^3 + F7/(1+D37)^4 + G7/(1+D37)^5)+$C$8*B41/(1+D37)^5+$C$16)/$C$17</f>
        <v>520.867636357608</v>
      </c>
      <c r="E41" s="57" t="n">
        <f aca="false">((C7/(1+E37)^1 + D7/(1+E37)^2 + E7/(1+E37)^3 + F7/(1+E37)^4 + G7/(1+E37)^5)+$C$8*B41/(1+E37)^5+$C$16)/$C$17</f>
        <v>503.596650532782</v>
      </c>
      <c r="F41" s="57" t="n">
        <f aca="false">((C7/(1+F37)^1 + D7/(1+F37)^2 + E7/(1+F37)^3 + F7/(1+F37)^4 + G7/(1+F37)^5)+$C$8*B41/(1+F37)^5+$C$16)/$C$17</f>
        <v>489.076683963252</v>
      </c>
      <c r="G41" s="57" t="n">
        <f aca="false">((C7/(1+G37)^1 + D7/(1+G37)^2 + E7/(1+G37)^3 + F7/(1+G37)^4 + G7/(1+G37)^5)+$C$8*B41/(1+G37)^5+$C$16)/$C$17</f>
        <v>469.244182139169</v>
      </c>
    </row>
    <row r="42" customFormat="false" ht="15" hidden="false" customHeight="true" outlineLevel="0" collapsed="false">
      <c r="B42" s="59" t="n">
        <v>24</v>
      </c>
      <c r="C42" s="57" t="n">
        <f aca="false">((C7/(1+C37)^1 + D7/(1+C37)^2 + E7/(1+C37)^3 + F7/(1+C37)^4 + G7/(1+C37)^5)+$C$8*B42/(1+C37)^5+$C$16)/$C$17</f>
        <v>611.259799773651</v>
      </c>
      <c r="D42" s="57" t="n">
        <f aca="false">((C7/(1+D37)^1 + D7/(1+D37)^2 + E7/(1+D37)^3 + F7/(1+D37)^4 + G7/(1+D37)^5)+$C$8*B42/(1+D37)^5+$C$16)/$C$17</f>
        <v>585.591490886536</v>
      </c>
      <c r="E42" s="57" t="n">
        <f aca="false">((C7/(1+E37)^1 + D7/(1+E37)^2 + E7/(1+E37)^3 + F7/(1+E37)^4 + G7/(1+E37)^5)+$C$8*B42/(1+E37)^5+$C$16)/$C$17</f>
        <v>566.027600242829</v>
      </c>
      <c r="F42" s="57" t="n">
        <f aca="false">((C7/(1+F37)^1 + D7/(1+F37)^2 + E7/(1+F37)^3 + F7/(1+F37)^4 + G7/(1+F37)^5)+$C$8*B42/(1+F37)^5+$C$16)/$C$17</f>
        <v>549.580901640995</v>
      </c>
      <c r="G42" s="57" t="n">
        <f aca="false">((C7/(1+G37)^1 + D7/(1+G37)^2 + E7/(1+G37)^3 + F7/(1+G37)^4 + G7/(1+G37)^5)+$C$8*B42/(1+G37)^5+$C$16)/$C$17</f>
        <v>527.118188248521</v>
      </c>
    </row>
    <row r="44" customFormat="false" ht="15" hidden="false" customHeight="true" outlineLevel="0" collapsed="false">
      <c r="B44" s="55" t="s">
        <v>241</v>
      </c>
    </row>
    <row r="47" customFormat="false" ht="15" hidden="false" customHeight="true" outlineLevel="0" collapsed="false">
      <c r="B47" s="53" t="s">
        <v>242</v>
      </c>
      <c r="C47" s="53"/>
      <c r="D47" s="53"/>
      <c r="E47" s="53"/>
      <c r="F47" s="53"/>
      <c r="G47" s="53"/>
      <c r="H47" s="53"/>
      <c r="I47" s="53"/>
      <c r="J47" s="53"/>
    </row>
    <row r="48" customFormat="false" ht="15" hidden="false" customHeight="true" outlineLevel="0" collapsed="false">
      <c r="B48" s="11" t="s">
        <v>243</v>
      </c>
      <c r="C48" s="5" t="n">
        <v>995</v>
      </c>
    </row>
    <row r="49" customFormat="false" ht="15" hidden="false" customHeight="true" outlineLevel="0" collapsed="false">
      <c r="B49" s="54" t="s">
        <v>235</v>
      </c>
      <c r="C49" s="56" t="n">
        <v>0.095</v>
      </c>
      <c r="D49" s="56" t="n">
        <v>0.105</v>
      </c>
      <c r="E49" s="56" t="n">
        <v>0.113</v>
      </c>
      <c r="F49" s="56" t="n">
        <v>0.12</v>
      </c>
      <c r="G49" s="56" t="n">
        <v>0.13</v>
      </c>
    </row>
    <row r="50" customFormat="false" ht="15" hidden="false" customHeight="true" outlineLevel="0" collapsed="false">
      <c r="B50" s="56" t="n">
        <v>0.015</v>
      </c>
      <c r="C50" s="60" t="n">
        <f aca="false">IFERROR(C24/$C$48-1,"-")</f>
        <v>-0.749785704797159</v>
      </c>
      <c r="D50" s="60" t="n">
        <f aca="false">IFERROR(D24/$C$48-1,"-")</f>
        <v>-0.778564408836062</v>
      </c>
      <c r="E50" s="60" t="n">
        <f aca="false">IFERROR(E24/$C$48-1,"-")</f>
        <v>-0.797292291178684</v>
      </c>
      <c r="F50" s="60" t="n">
        <f aca="false">IFERROR(F24/$C$48-1,"-")</f>
        <v>-0.811294632845859</v>
      </c>
      <c r="G50" s="60" t="n">
        <f aca="false">IFERROR(G24/$C$48-1,"-")</f>
        <v>-0.828278810655951</v>
      </c>
    </row>
    <row r="51" customFormat="false" ht="15" hidden="false" customHeight="true" outlineLevel="0" collapsed="false">
      <c r="B51" s="56" t="n">
        <v>0.02</v>
      </c>
      <c r="C51" s="60" t="n">
        <f aca="false">IFERROR(C25/$C$48-1,"-")</f>
        <v>-0.736805667451512</v>
      </c>
      <c r="D51" s="60" t="n">
        <f aca="false">IFERROR(D25/$C$48-1,"-")</f>
        <v>-0.768747536983255</v>
      </c>
      <c r="E51" s="60" t="n">
        <f aca="false">IFERROR(E25/$C$48-1,"-")</f>
        <v>-0.789286689321922</v>
      </c>
      <c r="F51" s="60" t="n">
        <f aca="false">IFERROR(F25/$C$48-1,"-")</f>
        <v>-0.804517870130249</v>
      </c>
      <c r="G51" s="60" t="n">
        <f aca="false">IFERROR(G25/$C$48-1,"-")</f>
        <v>-0.822850316562254</v>
      </c>
    </row>
    <row r="52" customFormat="false" ht="15" hidden="false" customHeight="true" outlineLevel="0" collapsed="false">
      <c r="B52" s="56" t="n">
        <v>0.025</v>
      </c>
      <c r="C52" s="60" t="n">
        <f aca="false">IFERROR(C26/$C$48-1,"-")</f>
        <v>-0.721971339056487</v>
      </c>
      <c r="D52" s="60" t="n">
        <f aca="false">IFERROR(D26/$C$48-1,"-")</f>
        <v>-0.757703556148849</v>
      </c>
      <c r="E52" s="61" t="n">
        <f aca="false">IFERROR(E26/$C$48-1,"-")</f>
        <v>-0.780371359981438</v>
      </c>
      <c r="F52" s="60" t="n">
        <f aca="false">IFERROR(F26/$C$48-1,"-")</f>
        <v>-0.797027763970891</v>
      </c>
      <c r="G52" s="60" t="n">
        <f aca="false">IFERROR(G26/$C$48-1,"-")</f>
        <v>-0.816904823031062</v>
      </c>
    </row>
    <row r="53" customFormat="false" ht="15" hidden="false" customHeight="true" outlineLevel="0" collapsed="false">
      <c r="B53" s="56" t="n">
        <v>0.03</v>
      </c>
      <c r="C53" s="60" t="n">
        <f aca="false">IFERROR(C27/$C$48-1,"-")</f>
        <v>-0.704854806292996</v>
      </c>
      <c r="D53" s="60" t="n">
        <f aca="false">IFERROR(D27/$C$48-1,"-")</f>
        <v>-0.745187044536521</v>
      </c>
      <c r="E53" s="60" t="n">
        <f aca="false">IFERROR(E27/$C$48-1,"-")</f>
        <v>-0.770381894575835</v>
      </c>
      <c r="F53" s="60" t="n">
        <f aca="false">IFERROR(F27/$C$48-1,"-")</f>
        <v>-0.788705423793827</v>
      </c>
      <c r="G53" s="60" t="n">
        <f aca="false">IFERROR(G27/$C$48-1,"-")</f>
        <v>-0.81036478014675</v>
      </c>
    </row>
    <row r="54" customFormat="false" ht="15" hidden="false" customHeight="true" outlineLevel="0" collapsed="false">
      <c r="B54" s="56" t="n">
        <v>0.035</v>
      </c>
      <c r="C54" s="60" t="n">
        <f aca="false">IFERROR(C28/$C$48-1,"-")</f>
        <v>-0.684885518068924</v>
      </c>
      <c r="D54" s="60" t="n">
        <f aca="false">IFERROR(D28/$C$48-1,"-")</f>
        <v>-0.730882459836718</v>
      </c>
      <c r="E54" s="60" t="n">
        <f aca="false">IFERROR(E28/$C$48-1,"-")</f>
        <v>-0.759111728477207</v>
      </c>
      <c r="F54" s="60" t="n">
        <f aca="false">IFERROR(F28/$C$48-1,"-")</f>
        <v>-0.779403984772402</v>
      </c>
      <c r="G54" s="60" t="n">
        <f aca="false">IFERROR(G28/$C$48-1,"-")</f>
        <v>-0.80313631169567</v>
      </c>
    </row>
    <row r="56" customFormat="false" ht="15" hidden="false" customHeight="true" outlineLevel="0" collapsed="false">
      <c r="B56" s="4" t="s">
        <v>244</v>
      </c>
    </row>
    <row r="57" customFormat="false" ht="15" hidden="false" customHeight="true" outlineLevel="0" collapsed="false">
      <c r="B57" s="55" t="s">
        <v>245</v>
      </c>
    </row>
    <row r="58" customFormat="false" ht="15" hidden="false" customHeight="true" outlineLevel="0" collapsed="false">
      <c r="B58" s="55" t="s">
        <v>246</v>
      </c>
    </row>
    <row r="59" customFormat="false" ht="15" hidden="false" customHeight="true" outlineLevel="0" collapsed="false">
      <c r="B59" s="55" t="s">
        <v>247</v>
      </c>
    </row>
  </sheetData>
  <mergeCells count="5">
    <mergeCell ref="B5:H5"/>
    <mergeCell ref="B10:H10"/>
    <mergeCell ref="B20:J20"/>
    <mergeCell ref="B34:J34"/>
    <mergeCell ref="B47:J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5" min="3" style="1" width="12"/>
    <col collapsed="false" customWidth="true" hidden="false" outlineLevel="0" max="6" min="6" style="1" width="14"/>
    <col collapsed="false" customWidth="true" hidden="false" outlineLevel="0" max="7" min="7" style="1" width="50"/>
    <col collapsed="false" customWidth="true" hidden="false" outlineLevel="0" max="8" min="8" style="1" width="14"/>
  </cols>
  <sheetData>
    <row r="2" customFormat="false" ht="17.25" hidden="false" customHeight="true" outlineLevel="0" collapsed="false">
      <c r="B2" s="16" t="s">
        <v>248</v>
      </c>
    </row>
    <row r="3" customFormat="false" ht="15" hidden="false" customHeight="true" outlineLevel="0" collapsed="false">
      <c r="B3" s="17" t="s">
        <v>249</v>
      </c>
    </row>
    <row r="5" customFormat="false" ht="15" hidden="false" customHeight="true" outlineLevel="0" collapsed="false">
      <c r="B5" s="4" t="s">
        <v>250</v>
      </c>
      <c r="C5" s="62" t="s">
        <v>251</v>
      </c>
      <c r="D5" s="17" t="s">
        <v>252</v>
      </c>
    </row>
    <row r="6" customFormat="false" ht="15" hidden="false" customHeight="true" outlineLevel="0" collapsed="false">
      <c r="B6" s="17" t="s">
        <v>253</v>
      </c>
      <c r="C6" s="63" t="n">
        <f aca="false">MATCH(C5,{"Bear","Base","Bull"},0)</f>
        <v>2</v>
      </c>
    </row>
    <row r="8" customFormat="false" ht="15" hidden="false" customHeight="true" outlineLevel="0" collapsed="false">
      <c r="B8" s="64" t="s">
        <v>254</v>
      </c>
      <c r="C8" s="64"/>
      <c r="D8" s="64"/>
      <c r="E8" s="64"/>
      <c r="F8" s="64"/>
      <c r="G8" s="64"/>
      <c r="H8" s="64"/>
    </row>
    <row r="10" customFormat="false" ht="15" hidden="false" customHeight="true" outlineLevel="0" collapsed="false">
      <c r="B10" s="1" t="s">
        <v>103</v>
      </c>
      <c r="C10" s="65" t="n">
        <f aca="false">Assumptions!C56</f>
        <v>0.113035</v>
      </c>
      <c r="D10" s="1" t="s">
        <v>255</v>
      </c>
      <c r="E10" s="65" t="n">
        <f aca="false">Assumptions!C58</f>
        <v>0.025</v>
      </c>
      <c r="F10" s="29" t="s">
        <v>256</v>
      </c>
      <c r="G10" s="29" t="s">
        <v>257</v>
      </c>
    </row>
    <row r="11" customFormat="false" ht="19.5" hidden="false" customHeight="true" outlineLevel="0" collapsed="false">
      <c r="B11" s="1" t="s">
        <v>258</v>
      </c>
      <c r="C11" s="66" t="n">
        <f aca="false">Revenue!J28</f>
        <v>62744.8231568404</v>
      </c>
      <c r="D11" s="1" t="s">
        <v>226</v>
      </c>
      <c r="E11" s="66" t="n">
        <f aca="false">'P&amp;L'!J21</f>
        <v>9241.18908465073</v>
      </c>
      <c r="F11" s="67" t="n">
        <f aca="false">DCF!C48</f>
        <v>218.44096137078</v>
      </c>
      <c r="G11" s="68" t="n">
        <f aca="false">DCF!C51</f>
        <v>-0.780461345356001</v>
      </c>
    </row>
    <row r="13" customFormat="false" ht="15" hidden="false" customHeight="true" outlineLevel="0" collapsed="false">
      <c r="B13" s="69" t="s">
        <v>259</v>
      </c>
      <c r="C13" s="69"/>
      <c r="D13" s="69"/>
      <c r="E13" s="69"/>
      <c r="F13" s="69"/>
      <c r="G13" s="69"/>
      <c r="H13" s="69"/>
    </row>
    <row r="16" customFormat="false" ht="15" hidden="false" customHeight="true" outlineLevel="0" collapsed="false">
      <c r="B16" s="53" t="s">
        <v>260</v>
      </c>
      <c r="C16" s="53"/>
      <c r="D16" s="53"/>
      <c r="E16" s="53"/>
      <c r="F16" s="53"/>
      <c r="G16" s="53"/>
    </row>
    <row r="18" customFormat="false" ht="15" hidden="false" customHeight="true" outlineLevel="0" collapsed="false">
      <c r="B18" s="29" t="s">
        <v>261</v>
      </c>
      <c r="C18" s="29" t="s">
        <v>262</v>
      </c>
      <c r="D18" s="29" t="s">
        <v>251</v>
      </c>
      <c r="E18" s="29" t="s">
        <v>263</v>
      </c>
      <c r="F18" s="29" t="s">
        <v>264</v>
      </c>
      <c r="G18" s="29" t="s">
        <v>265</v>
      </c>
    </row>
    <row r="19" customFormat="false" ht="15" hidden="false" customHeight="true" outlineLevel="0" collapsed="false">
      <c r="B19" s="70" t="s">
        <v>266</v>
      </c>
      <c r="C19" s="70"/>
      <c r="D19" s="70"/>
      <c r="E19" s="70"/>
      <c r="F19" s="70"/>
      <c r="G19" s="70"/>
    </row>
    <row r="20" customFormat="false" ht="15" hidden="false" customHeight="true" outlineLevel="0" collapsed="false">
      <c r="B20" s="11" t="s">
        <v>267</v>
      </c>
      <c r="C20" s="21" t="n">
        <v>0.12</v>
      </c>
      <c r="D20" s="21" t="n">
        <v>0.15</v>
      </c>
      <c r="E20" s="21" t="n">
        <v>0.17</v>
      </c>
      <c r="F20" s="71" t="n">
        <f aca="false">INDEX(C20:E20,$C$6)</f>
        <v>0.15</v>
      </c>
    </row>
    <row r="21" customFormat="false" ht="15" hidden="false" customHeight="true" outlineLevel="0" collapsed="false">
      <c r="B21" s="11" t="s">
        <v>268</v>
      </c>
      <c r="C21" s="21" t="n">
        <v>0.09</v>
      </c>
      <c r="D21" s="21" t="n">
        <v>0.13</v>
      </c>
      <c r="E21" s="21" t="n">
        <v>0.15</v>
      </c>
      <c r="F21" s="71" t="n">
        <f aca="false">INDEX(C21:E21,$C$6)</f>
        <v>0.13</v>
      </c>
    </row>
    <row r="22" customFormat="false" ht="15" hidden="false" customHeight="true" outlineLevel="0" collapsed="false">
      <c r="B22" s="11" t="s">
        <v>269</v>
      </c>
      <c r="C22" s="21" t="n">
        <v>0.06</v>
      </c>
      <c r="D22" s="21" t="n">
        <v>0.11</v>
      </c>
      <c r="E22" s="21" t="n">
        <v>0.13</v>
      </c>
      <c r="F22" s="71" t="n">
        <f aca="false">INDEX(C22:E22,$C$6)</f>
        <v>0.11</v>
      </c>
    </row>
    <row r="23" customFormat="false" ht="15" hidden="false" customHeight="true" outlineLevel="0" collapsed="false">
      <c r="B23" s="11" t="s">
        <v>270</v>
      </c>
      <c r="C23" s="21" t="n">
        <v>0.04</v>
      </c>
      <c r="D23" s="21" t="n">
        <v>0.09</v>
      </c>
      <c r="E23" s="21" t="n">
        <v>0.11</v>
      </c>
      <c r="F23" s="71" t="n">
        <f aca="false">INDEX(C23:E23,$C$6)</f>
        <v>0.09</v>
      </c>
    </row>
    <row r="24" customFormat="false" ht="15" hidden="false" customHeight="true" outlineLevel="0" collapsed="false">
      <c r="B24" s="11" t="s">
        <v>271</v>
      </c>
      <c r="C24" s="21" t="n">
        <v>0.03</v>
      </c>
      <c r="D24" s="21" t="n">
        <v>0.07</v>
      </c>
      <c r="E24" s="21" t="n">
        <v>0.1</v>
      </c>
      <c r="F24" s="71" t="n">
        <f aca="false">INDEX(C24:E24,$C$6)</f>
        <v>0.07</v>
      </c>
    </row>
    <row r="25" customFormat="false" ht="15" hidden="false" customHeight="true" outlineLevel="0" collapsed="false">
      <c r="B25" s="11" t="s">
        <v>272</v>
      </c>
      <c r="C25" s="21" t="n">
        <v>0.12</v>
      </c>
      <c r="D25" s="21" t="n">
        <v>0.15</v>
      </c>
      <c r="E25" s="21" t="n">
        <v>0.18</v>
      </c>
      <c r="F25" s="71" t="n">
        <f aca="false">INDEX(C25:E25,$C$6)</f>
        <v>0.15</v>
      </c>
    </row>
    <row r="26" customFormat="false" ht="15" hidden="false" customHeight="true" outlineLevel="0" collapsed="false">
      <c r="B26" s="11" t="s">
        <v>273</v>
      </c>
      <c r="C26" s="21" t="n">
        <v>0.1</v>
      </c>
      <c r="D26" s="21" t="n">
        <v>0.15</v>
      </c>
      <c r="E26" s="21" t="n">
        <v>0.18</v>
      </c>
      <c r="F26" s="71" t="n">
        <f aca="false">INDEX(C26:E26,$C$6)</f>
        <v>0.15</v>
      </c>
    </row>
    <row r="27" customFormat="false" ht="15" hidden="false" customHeight="true" outlineLevel="0" collapsed="false">
      <c r="B27" s="11" t="s">
        <v>274</v>
      </c>
      <c r="C27" s="21" t="n">
        <v>0.08</v>
      </c>
      <c r="D27" s="21" t="n">
        <v>0.14</v>
      </c>
      <c r="E27" s="21" t="n">
        <v>0.16</v>
      </c>
      <c r="F27" s="71" t="n">
        <f aca="false">INDEX(C27:E27,$C$6)</f>
        <v>0.14</v>
      </c>
    </row>
    <row r="28" customFormat="false" ht="15" hidden="false" customHeight="true" outlineLevel="0" collapsed="false">
      <c r="B28" s="11" t="s">
        <v>275</v>
      </c>
      <c r="C28" s="21" t="n">
        <v>0.06</v>
      </c>
      <c r="D28" s="21" t="n">
        <v>0.12</v>
      </c>
      <c r="E28" s="21" t="n">
        <v>0.14</v>
      </c>
      <c r="F28" s="71" t="n">
        <f aca="false">INDEX(C28:E28,$C$6)</f>
        <v>0.12</v>
      </c>
    </row>
    <row r="29" customFormat="false" ht="15" hidden="false" customHeight="true" outlineLevel="0" collapsed="false">
      <c r="B29" s="11" t="s">
        <v>276</v>
      </c>
      <c r="C29" s="21" t="n">
        <v>0.05</v>
      </c>
      <c r="D29" s="21" t="n">
        <v>0.1</v>
      </c>
      <c r="E29" s="21" t="n">
        <v>0.12</v>
      </c>
      <c r="F29" s="71" t="n">
        <f aca="false">INDEX(C29:E29,$C$6)</f>
        <v>0.1</v>
      </c>
    </row>
    <row r="30" customFormat="false" ht="15" hidden="false" customHeight="true" outlineLevel="0" collapsed="false">
      <c r="B30" s="11" t="s">
        <v>277</v>
      </c>
      <c r="C30" s="21" t="n">
        <v>0.03</v>
      </c>
      <c r="D30" s="21" t="n">
        <v>0.03</v>
      </c>
      <c r="E30" s="21" t="n">
        <v>0.03</v>
      </c>
      <c r="F30" s="71" t="n">
        <f aca="false">INDEX(C30:E30,$C$6)</f>
        <v>0.03</v>
      </c>
    </row>
    <row r="31" customFormat="false" ht="15" hidden="false" customHeight="true" outlineLevel="0" collapsed="false">
      <c r="B31" s="11" t="s">
        <v>278</v>
      </c>
      <c r="C31" s="21" t="n">
        <v>0.03</v>
      </c>
      <c r="D31" s="21" t="n">
        <v>0.03</v>
      </c>
      <c r="E31" s="21" t="n">
        <v>0.03</v>
      </c>
      <c r="F31" s="71" t="n">
        <f aca="false">INDEX(C31:E31,$C$6)</f>
        <v>0.03</v>
      </c>
    </row>
    <row r="32" customFormat="false" ht="15" hidden="false" customHeight="true" outlineLevel="0" collapsed="false">
      <c r="B32" s="11" t="s">
        <v>279</v>
      </c>
      <c r="C32" s="21" t="n">
        <v>0.03</v>
      </c>
      <c r="D32" s="21" t="n">
        <v>0.03</v>
      </c>
      <c r="E32" s="21" t="n">
        <v>0.03</v>
      </c>
      <c r="F32" s="71" t="n">
        <f aca="false">INDEX(C32:E32,$C$6)</f>
        <v>0.03</v>
      </c>
    </row>
    <row r="33" customFormat="false" ht="15" hidden="false" customHeight="true" outlineLevel="0" collapsed="false">
      <c r="B33" s="11" t="s">
        <v>280</v>
      </c>
      <c r="C33" s="21" t="n">
        <v>0.03</v>
      </c>
      <c r="D33" s="21" t="n">
        <v>0.03</v>
      </c>
      <c r="E33" s="21" t="n">
        <v>0.03</v>
      </c>
      <c r="F33" s="71" t="n">
        <f aca="false">INDEX(C33:E33,$C$6)</f>
        <v>0.03</v>
      </c>
    </row>
    <row r="34" customFormat="false" ht="15" hidden="false" customHeight="true" outlineLevel="0" collapsed="false">
      <c r="B34" s="11" t="s">
        <v>281</v>
      </c>
      <c r="C34" s="21" t="n">
        <v>0.03</v>
      </c>
      <c r="D34" s="21" t="n">
        <v>0.03</v>
      </c>
      <c r="E34" s="21" t="n">
        <v>0.03</v>
      </c>
      <c r="F34" s="71" t="n">
        <f aca="false">INDEX(C34:E34,$C$6)</f>
        <v>0.03</v>
      </c>
    </row>
    <row r="35" customFormat="false" ht="15" hidden="false" customHeight="true" outlineLevel="0" collapsed="false">
      <c r="B35" s="11" t="s">
        <v>282</v>
      </c>
      <c r="C35" s="21" t="n">
        <v>-0.04</v>
      </c>
      <c r="D35" s="21" t="n">
        <v>-0.04</v>
      </c>
      <c r="E35" s="21" t="n">
        <v>-0.04</v>
      </c>
      <c r="F35" s="71" t="n">
        <f aca="false">INDEX(C35:E35,$C$6)</f>
        <v>-0.04</v>
      </c>
    </row>
    <row r="36" customFormat="false" ht="15" hidden="false" customHeight="true" outlineLevel="0" collapsed="false">
      <c r="B36" s="11" t="s">
        <v>283</v>
      </c>
      <c r="C36" s="21" t="n">
        <v>-0.04</v>
      </c>
      <c r="D36" s="21" t="n">
        <v>-0.04</v>
      </c>
      <c r="E36" s="21" t="n">
        <v>-0.04</v>
      </c>
      <c r="F36" s="71" t="n">
        <f aca="false">INDEX(C36:E36,$C$6)</f>
        <v>-0.04</v>
      </c>
    </row>
    <row r="37" customFormat="false" ht="15" hidden="false" customHeight="true" outlineLevel="0" collapsed="false">
      <c r="B37" s="11" t="s">
        <v>284</v>
      </c>
      <c r="C37" s="21" t="n">
        <v>-0.04</v>
      </c>
      <c r="D37" s="21" t="n">
        <v>-0.04</v>
      </c>
      <c r="E37" s="21" t="n">
        <v>-0.04</v>
      </c>
      <c r="F37" s="71" t="n">
        <f aca="false">INDEX(C37:E37,$C$6)</f>
        <v>-0.04</v>
      </c>
    </row>
    <row r="38" customFormat="false" ht="15" hidden="false" customHeight="true" outlineLevel="0" collapsed="false">
      <c r="B38" s="11" t="s">
        <v>285</v>
      </c>
      <c r="C38" s="21" t="n">
        <v>-0.03</v>
      </c>
      <c r="D38" s="21" t="n">
        <v>-0.03</v>
      </c>
      <c r="E38" s="21" t="n">
        <v>-0.03</v>
      </c>
      <c r="F38" s="71" t="n">
        <f aca="false">INDEX(C38:E38,$C$6)</f>
        <v>-0.03</v>
      </c>
    </row>
    <row r="39" customFormat="false" ht="15" hidden="false" customHeight="true" outlineLevel="0" collapsed="false">
      <c r="B39" s="11" t="s">
        <v>286</v>
      </c>
      <c r="C39" s="21" t="n">
        <v>-0.03</v>
      </c>
      <c r="D39" s="21" t="n">
        <v>-0.03</v>
      </c>
      <c r="E39" s="21" t="n">
        <v>-0.03</v>
      </c>
      <c r="F39" s="71" t="n">
        <f aca="false">INDEX(C39:E39,$C$6)</f>
        <v>-0.03</v>
      </c>
    </row>
    <row r="40" customFormat="false" ht="15" hidden="false" customHeight="true" outlineLevel="0" collapsed="false">
      <c r="B40" s="11" t="s">
        <v>287</v>
      </c>
      <c r="C40" s="21" t="n">
        <v>0.02</v>
      </c>
      <c r="D40" s="21" t="n">
        <v>0.02</v>
      </c>
      <c r="E40" s="21" t="n">
        <v>0.02</v>
      </c>
      <c r="F40" s="71" t="n">
        <f aca="false">INDEX(C40:E40,$C$6)</f>
        <v>0.02</v>
      </c>
    </row>
    <row r="41" customFormat="false" ht="15" hidden="false" customHeight="true" outlineLevel="0" collapsed="false">
      <c r="B41" s="11" t="s">
        <v>288</v>
      </c>
      <c r="C41" s="21" t="n">
        <v>0.03</v>
      </c>
      <c r="D41" s="21" t="n">
        <v>0.03</v>
      </c>
      <c r="E41" s="21" t="n">
        <v>0.03</v>
      </c>
      <c r="F41" s="71" t="n">
        <f aca="false">INDEX(C41:E41,$C$6)</f>
        <v>0.03</v>
      </c>
    </row>
    <row r="42" customFormat="false" ht="15" hidden="false" customHeight="true" outlineLevel="0" collapsed="false">
      <c r="B42" s="11" t="s">
        <v>289</v>
      </c>
      <c r="C42" s="21" t="n">
        <v>0.04</v>
      </c>
      <c r="D42" s="21" t="n">
        <v>0.04</v>
      </c>
      <c r="E42" s="21" t="n">
        <v>0.04</v>
      </c>
      <c r="F42" s="71" t="n">
        <f aca="false">INDEX(C42:E42,$C$6)</f>
        <v>0.04</v>
      </c>
    </row>
    <row r="43" customFormat="false" ht="15" hidden="false" customHeight="true" outlineLevel="0" collapsed="false">
      <c r="B43" s="11" t="s">
        <v>290</v>
      </c>
      <c r="C43" s="21" t="n">
        <v>0.04</v>
      </c>
      <c r="D43" s="21" t="n">
        <v>0.04</v>
      </c>
      <c r="E43" s="21" t="n">
        <v>0.04</v>
      </c>
      <c r="F43" s="71" t="n">
        <f aca="false">INDEX(C43:E43,$C$6)</f>
        <v>0.04</v>
      </c>
    </row>
    <row r="44" customFormat="false" ht="15" hidden="false" customHeight="true" outlineLevel="0" collapsed="false">
      <c r="B44" s="11" t="s">
        <v>291</v>
      </c>
      <c r="C44" s="21" t="n">
        <v>0.04</v>
      </c>
      <c r="D44" s="21" t="n">
        <v>0.04</v>
      </c>
      <c r="E44" s="21" t="n">
        <v>0.04</v>
      </c>
      <c r="F44" s="71" t="n">
        <f aca="false">INDEX(C44:E44,$C$6)</f>
        <v>0.04</v>
      </c>
    </row>
    <row r="45" customFormat="false" ht="15" hidden="false" customHeight="true" outlineLevel="0" collapsed="false">
      <c r="B45" s="11" t="s">
        <v>292</v>
      </c>
      <c r="C45" s="21" t="n">
        <v>-0.3</v>
      </c>
      <c r="D45" s="21" t="n">
        <v>-0.3</v>
      </c>
      <c r="E45" s="21" t="n">
        <v>-0.15</v>
      </c>
      <c r="F45" s="71" t="n">
        <f aca="false">INDEX(C45:E45,$C$6)</f>
        <v>-0.3</v>
      </c>
    </row>
    <row r="46" customFormat="false" ht="15" hidden="false" customHeight="true" outlineLevel="0" collapsed="false">
      <c r="B46" s="11" t="s">
        <v>293</v>
      </c>
      <c r="C46" s="21" t="n">
        <v>-0.15</v>
      </c>
      <c r="D46" s="21" t="n">
        <v>-0.15</v>
      </c>
      <c r="E46" s="21" t="n">
        <v>0</v>
      </c>
      <c r="F46" s="71" t="n">
        <f aca="false">INDEX(C46:E46,$C$6)</f>
        <v>-0.15</v>
      </c>
    </row>
    <row r="47" customFormat="false" ht="15" hidden="false" customHeight="true" outlineLevel="0" collapsed="false">
      <c r="B47" s="11" t="s">
        <v>294</v>
      </c>
      <c r="C47" s="21" t="n">
        <v>0</v>
      </c>
      <c r="D47" s="21" t="n">
        <v>0</v>
      </c>
      <c r="E47" s="21" t="n">
        <v>0.1</v>
      </c>
      <c r="F47" s="71" t="n">
        <f aca="false">INDEX(C47:E47,$C$6)</f>
        <v>0</v>
      </c>
    </row>
    <row r="48" customFormat="false" ht="15" hidden="false" customHeight="true" outlineLevel="0" collapsed="false">
      <c r="B48" s="11" t="s">
        <v>295</v>
      </c>
      <c r="C48" s="21" t="n">
        <v>0.05</v>
      </c>
      <c r="D48" s="21" t="n">
        <v>0.05</v>
      </c>
      <c r="E48" s="21" t="n">
        <v>0.1</v>
      </c>
      <c r="F48" s="71" t="n">
        <f aca="false">INDEX(C48:E48,$C$6)</f>
        <v>0.05</v>
      </c>
    </row>
    <row r="49" customFormat="false" ht="15" hidden="false" customHeight="true" outlineLevel="0" collapsed="false">
      <c r="B49" s="11" t="s">
        <v>296</v>
      </c>
      <c r="C49" s="21" t="n">
        <v>0.05</v>
      </c>
      <c r="D49" s="21" t="n">
        <v>0.05</v>
      </c>
      <c r="E49" s="21" t="n">
        <v>0.1</v>
      </c>
      <c r="F49" s="71" t="n">
        <f aca="false">INDEX(C49:E49,$C$6)</f>
        <v>0.05</v>
      </c>
    </row>
    <row r="50" customFormat="false" ht="15" hidden="false" customHeight="true" outlineLevel="0" collapsed="false">
      <c r="B50" s="11" t="s">
        <v>297</v>
      </c>
      <c r="C50" s="21" t="n">
        <v>-0.15</v>
      </c>
      <c r="D50" s="21" t="n">
        <v>-0.15</v>
      </c>
      <c r="E50" s="21" t="n">
        <v>-0.15</v>
      </c>
      <c r="F50" s="71" t="n">
        <f aca="false">INDEX(C50:E50,$C$6)</f>
        <v>-0.15</v>
      </c>
    </row>
    <row r="51" customFormat="false" ht="15" hidden="false" customHeight="true" outlineLevel="0" collapsed="false">
      <c r="B51" s="11" t="s">
        <v>298</v>
      </c>
      <c r="C51" s="21" t="n">
        <v>-0.05</v>
      </c>
      <c r="D51" s="21" t="n">
        <v>-0.05</v>
      </c>
      <c r="E51" s="21" t="n">
        <v>-0.05</v>
      </c>
      <c r="F51" s="71" t="n">
        <f aca="false">INDEX(C51:E51,$C$6)</f>
        <v>-0.05</v>
      </c>
    </row>
    <row r="52" customFormat="false" ht="15" hidden="false" customHeight="true" outlineLevel="0" collapsed="false">
      <c r="B52" s="11" t="s">
        <v>299</v>
      </c>
      <c r="C52" s="21" t="n">
        <v>0.02</v>
      </c>
      <c r="D52" s="21" t="n">
        <v>0.02</v>
      </c>
      <c r="E52" s="21" t="n">
        <v>0.02</v>
      </c>
      <c r="F52" s="71" t="n">
        <f aca="false">INDEX(C52:E52,$C$6)</f>
        <v>0.02</v>
      </c>
    </row>
    <row r="53" customFormat="false" ht="15" hidden="false" customHeight="true" outlineLevel="0" collapsed="false">
      <c r="B53" s="11" t="s">
        <v>300</v>
      </c>
      <c r="C53" s="21" t="n">
        <v>0.03</v>
      </c>
      <c r="D53" s="21" t="n">
        <v>0.03</v>
      </c>
      <c r="E53" s="21" t="n">
        <v>0.03</v>
      </c>
      <c r="F53" s="71" t="n">
        <f aca="false">INDEX(C53:E53,$C$6)</f>
        <v>0.03</v>
      </c>
    </row>
    <row r="54" customFormat="false" ht="15" hidden="false" customHeight="true" outlineLevel="0" collapsed="false">
      <c r="B54" s="11" t="s">
        <v>301</v>
      </c>
      <c r="C54" s="21" t="n">
        <v>0.03</v>
      </c>
      <c r="D54" s="21" t="n">
        <v>0.03</v>
      </c>
      <c r="E54" s="21" t="n">
        <v>0.03</v>
      </c>
      <c r="F54" s="71" t="n">
        <f aca="false">INDEX(C54:E54,$C$6)</f>
        <v>0.03</v>
      </c>
    </row>
    <row r="55" customFormat="false" ht="15" hidden="false" customHeight="true" outlineLevel="0" collapsed="false">
      <c r="B55" s="11" t="s">
        <v>302</v>
      </c>
      <c r="C55" s="21" t="n">
        <v>0.55</v>
      </c>
      <c r="D55" s="21" t="n">
        <v>0.61</v>
      </c>
      <c r="E55" s="21" t="n">
        <v>0.73</v>
      </c>
      <c r="F55" s="71" t="n">
        <f aca="false">INDEX(C55:E55,$C$6)</f>
        <v>0.61</v>
      </c>
    </row>
    <row r="56" customFormat="false" ht="15" hidden="false" customHeight="true" outlineLevel="0" collapsed="false">
      <c r="B56" s="11" t="s">
        <v>303</v>
      </c>
      <c r="C56" s="21" t="n">
        <v>0.1</v>
      </c>
      <c r="D56" s="21" t="n">
        <v>0.15</v>
      </c>
      <c r="E56" s="21" t="n">
        <v>0.22</v>
      </c>
      <c r="F56" s="71" t="n">
        <f aca="false">INDEX(C56:E56,$C$6)</f>
        <v>0.15</v>
      </c>
    </row>
    <row r="57" customFormat="false" ht="15" hidden="false" customHeight="true" outlineLevel="0" collapsed="false">
      <c r="B57" s="11" t="s">
        <v>304</v>
      </c>
      <c r="C57" s="21" t="n">
        <v>0.06</v>
      </c>
      <c r="D57" s="21" t="n">
        <v>0.12</v>
      </c>
      <c r="E57" s="21" t="n">
        <v>0.18</v>
      </c>
      <c r="F57" s="71" t="n">
        <f aca="false">INDEX(C57:E57,$C$6)</f>
        <v>0.12</v>
      </c>
    </row>
    <row r="58" customFormat="false" ht="15" hidden="false" customHeight="true" outlineLevel="0" collapsed="false">
      <c r="B58" s="11" t="s">
        <v>305</v>
      </c>
      <c r="C58" s="21" t="n">
        <v>0.04</v>
      </c>
      <c r="D58" s="21" t="n">
        <v>0.1</v>
      </c>
      <c r="E58" s="21" t="n">
        <v>0.15</v>
      </c>
      <c r="F58" s="71" t="n">
        <f aca="false">INDEX(C58:E58,$C$6)</f>
        <v>0.1</v>
      </c>
    </row>
    <row r="59" customFormat="false" ht="15" hidden="false" customHeight="true" outlineLevel="0" collapsed="false">
      <c r="B59" s="11" t="s">
        <v>306</v>
      </c>
      <c r="C59" s="21" t="n">
        <v>0.03</v>
      </c>
      <c r="D59" s="21" t="n">
        <v>0.08</v>
      </c>
      <c r="E59" s="21" t="n">
        <v>0.12</v>
      </c>
      <c r="F59" s="71" t="n">
        <f aca="false">INDEX(C59:E59,$C$6)</f>
        <v>0.08</v>
      </c>
    </row>
    <row r="60" customFormat="false" ht="15" hidden="false" customHeight="true" outlineLevel="0" collapsed="false">
      <c r="B60" s="11" t="s">
        <v>307</v>
      </c>
      <c r="C60" s="21" t="n">
        <v>0.12</v>
      </c>
      <c r="D60" s="21" t="n">
        <v>0.18</v>
      </c>
      <c r="E60" s="21" t="n">
        <v>0.22</v>
      </c>
      <c r="F60" s="71" t="n">
        <f aca="false">INDEX(C60:E60,$C$6)</f>
        <v>0.18</v>
      </c>
    </row>
    <row r="61" customFormat="false" ht="15" hidden="false" customHeight="true" outlineLevel="0" collapsed="false">
      <c r="B61" s="11" t="s">
        <v>308</v>
      </c>
      <c r="C61" s="21" t="n">
        <v>0.08</v>
      </c>
      <c r="D61" s="21" t="n">
        <v>0.15</v>
      </c>
      <c r="E61" s="21" t="n">
        <v>0.18</v>
      </c>
      <c r="F61" s="71" t="n">
        <f aca="false">INDEX(C61:E61,$C$6)</f>
        <v>0.15</v>
      </c>
    </row>
    <row r="62" customFormat="false" ht="15" hidden="false" customHeight="true" outlineLevel="0" collapsed="false">
      <c r="B62" s="11" t="s">
        <v>309</v>
      </c>
      <c r="C62" s="21" t="n">
        <v>0.06</v>
      </c>
      <c r="D62" s="21" t="n">
        <v>0.13</v>
      </c>
      <c r="E62" s="21" t="n">
        <v>0.15</v>
      </c>
      <c r="F62" s="71" t="n">
        <f aca="false">INDEX(C62:E62,$C$6)</f>
        <v>0.13</v>
      </c>
    </row>
    <row r="63" customFormat="false" ht="15" hidden="false" customHeight="true" outlineLevel="0" collapsed="false">
      <c r="B63" s="11" t="s">
        <v>310</v>
      </c>
      <c r="C63" s="21" t="n">
        <v>0.04</v>
      </c>
      <c r="D63" s="21" t="n">
        <v>0.11</v>
      </c>
      <c r="E63" s="21" t="n">
        <v>0.13</v>
      </c>
      <c r="F63" s="71" t="n">
        <f aca="false">INDEX(C63:E63,$C$6)</f>
        <v>0.11</v>
      </c>
    </row>
    <row r="64" customFormat="false" ht="15" hidden="false" customHeight="true" outlineLevel="0" collapsed="false">
      <c r="B64" s="11" t="s">
        <v>311</v>
      </c>
      <c r="C64" s="21" t="n">
        <v>0.03</v>
      </c>
      <c r="D64" s="21" t="n">
        <v>0.09</v>
      </c>
      <c r="E64" s="21" t="n">
        <v>0.11</v>
      </c>
      <c r="F64" s="71" t="n">
        <f aca="false">INDEX(C64:E64,$C$6)</f>
        <v>0.09</v>
      </c>
    </row>
    <row r="65" customFormat="false" ht="15" hidden="false" customHeight="true" outlineLevel="0" collapsed="false">
      <c r="B65" s="11" t="s">
        <v>312</v>
      </c>
      <c r="C65" s="21" t="n">
        <v>0.08</v>
      </c>
      <c r="D65" s="21" t="n">
        <v>0.08</v>
      </c>
      <c r="E65" s="21" t="n">
        <v>0.08</v>
      </c>
      <c r="F65" s="71" t="n">
        <f aca="false">INDEX(C65:E65,$C$6)</f>
        <v>0.08</v>
      </c>
    </row>
    <row r="66" customFormat="false" ht="15" hidden="false" customHeight="true" outlineLevel="0" collapsed="false">
      <c r="B66" s="11" t="s">
        <v>313</v>
      </c>
      <c r="C66" s="21" t="n">
        <v>0.08</v>
      </c>
      <c r="D66" s="21" t="n">
        <v>0.08</v>
      </c>
      <c r="E66" s="21" t="n">
        <v>0.08</v>
      </c>
      <c r="F66" s="71" t="n">
        <f aca="false">INDEX(C66:E66,$C$6)</f>
        <v>0.08</v>
      </c>
    </row>
    <row r="67" customFormat="false" ht="15" hidden="false" customHeight="true" outlineLevel="0" collapsed="false">
      <c r="B67" s="11" t="s">
        <v>314</v>
      </c>
      <c r="C67" s="21" t="n">
        <v>0.07</v>
      </c>
      <c r="D67" s="21" t="n">
        <v>0.07</v>
      </c>
      <c r="E67" s="21" t="n">
        <v>0.07</v>
      </c>
      <c r="F67" s="71" t="n">
        <f aca="false">INDEX(C67:E67,$C$6)</f>
        <v>0.07</v>
      </c>
    </row>
    <row r="68" customFormat="false" ht="15" hidden="false" customHeight="true" outlineLevel="0" collapsed="false">
      <c r="B68" s="11" t="s">
        <v>315</v>
      </c>
      <c r="C68" s="21" t="n">
        <v>0.06</v>
      </c>
      <c r="D68" s="21" t="n">
        <v>0.06</v>
      </c>
      <c r="E68" s="21" t="n">
        <v>0.06</v>
      </c>
      <c r="F68" s="71" t="n">
        <f aca="false">INDEX(C68:E68,$C$6)</f>
        <v>0.06</v>
      </c>
    </row>
    <row r="69" customFormat="false" ht="15" hidden="false" customHeight="true" outlineLevel="0" collapsed="false">
      <c r="B69" s="11" t="s">
        <v>316</v>
      </c>
      <c r="C69" s="21" t="n">
        <v>0.06</v>
      </c>
      <c r="D69" s="21" t="n">
        <v>0.06</v>
      </c>
      <c r="E69" s="21" t="n">
        <v>0.06</v>
      </c>
      <c r="F69" s="71" t="n">
        <f aca="false">INDEX(C69:E69,$C$6)</f>
        <v>0.06</v>
      </c>
    </row>
    <row r="71" customFormat="false" ht="15" hidden="false" customHeight="true" outlineLevel="0" collapsed="false">
      <c r="B71" s="70" t="s">
        <v>317</v>
      </c>
      <c r="C71" s="70"/>
      <c r="D71" s="70"/>
      <c r="E71" s="70"/>
      <c r="F71" s="70"/>
      <c r="G71" s="70"/>
    </row>
    <row r="72" customFormat="false" ht="15" hidden="false" customHeight="true" outlineLevel="0" collapsed="false">
      <c r="B72" s="11" t="s">
        <v>318</v>
      </c>
      <c r="C72" s="21" t="n">
        <v>0.15</v>
      </c>
      <c r="D72" s="21" t="n">
        <v>0.16</v>
      </c>
      <c r="E72" s="21" t="n">
        <v>0.17</v>
      </c>
      <c r="F72" s="71" t="n">
        <f aca="false">INDEX(C72:E72,$C$6)</f>
        <v>0.16</v>
      </c>
    </row>
    <row r="73" customFormat="false" ht="15" hidden="false" customHeight="true" outlineLevel="0" collapsed="false">
      <c r="B73" s="11" t="s">
        <v>319</v>
      </c>
      <c r="C73" s="21" t="n">
        <v>0.155</v>
      </c>
      <c r="D73" s="21" t="n">
        <v>0.17</v>
      </c>
      <c r="E73" s="21" t="n">
        <v>0.18</v>
      </c>
      <c r="F73" s="71" t="n">
        <f aca="false">INDEX(C73:E73,$C$6)</f>
        <v>0.17</v>
      </c>
    </row>
    <row r="74" customFormat="false" ht="15" hidden="false" customHeight="true" outlineLevel="0" collapsed="false">
      <c r="B74" s="11" t="s">
        <v>320</v>
      </c>
      <c r="C74" s="21" t="n">
        <v>0.16</v>
      </c>
      <c r="D74" s="21" t="n">
        <v>0.175</v>
      </c>
      <c r="E74" s="21" t="n">
        <v>0.19</v>
      </c>
      <c r="F74" s="71" t="n">
        <f aca="false">INDEX(C74:E74,$C$6)</f>
        <v>0.175</v>
      </c>
    </row>
    <row r="75" customFormat="false" ht="15" hidden="false" customHeight="true" outlineLevel="0" collapsed="false">
      <c r="B75" s="11" t="s">
        <v>321</v>
      </c>
      <c r="C75" s="21" t="n">
        <v>0.16</v>
      </c>
      <c r="D75" s="21" t="n">
        <v>0.18</v>
      </c>
      <c r="E75" s="21" t="n">
        <v>0.195</v>
      </c>
      <c r="F75" s="71" t="n">
        <f aca="false">INDEX(C75:E75,$C$6)</f>
        <v>0.18</v>
      </c>
    </row>
    <row r="76" customFormat="false" ht="15" hidden="false" customHeight="true" outlineLevel="0" collapsed="false">
      <c r="B76" s="11" t="s">
        <v>322</v>
      </c>
      <c r="C76" s="21" t="n">
        <v>0.16</v>
      </c>
      <c r="D76" s="21" t="n">
        <v>0.18</v>
      </c>
      <c r="E76" s="21" t="n">
        <v>0.2</v>
      </c>
      <c r="F76" s="71" t="n">
        <f aca="false">INDEX(C76:E76,$C$6)</f>
        <v>0.18</v>
      </c>
    </row>
    <row r="77" customFormat="false" ht="15" hidden="false" customHeight="true" outlineLevel="0" collapsed="false">
      <c r="B77" s="11" t="s">
        <v>323</v>
      </c>
      <c r="C77" s="21" t="n">
        <v>-0.06</v>
      </c>
      <c r="D77" s="21" t="n">
        <v>-0.045</v>
      </c>
      <c r="E77" s="21" t="n">
        <v>-0.03</v>
      </c>
      <c r="F77" s="71" t="n">
        <f aca="false">INDEX(C77:E77,$C$6)</f>
        <v>-0.045</v>
      </c>
    </row>
    <row r="78" customFormat="false" ht="15" hidden="false" customHeight="true" outlineLevel="0" collapsed="false">
      <c r="B78" s="11" t="s">
        <v>324</v>
      </c>
      <c r="C78" s="21" t="n">
        <v>-0.05</v>
      </c>
      <c r="D78" s="21" t="n">
        <v>-0.025</v>
      </c>
      <c r="E78" s="21" t="n">
        <v>-0.01</v>
      </c>
      <c r="F78" s="71" t="n">
        <f aca="false">INDEX(C78:E78,$C$6)</f>
        <v>-0.025</v>
      </c>
    </row>
    <row r="79" customFormat="false" ht="15" hidden="false" customHeight="true" outlineLevel="0" collapsed="false">
      <c r="B79" s="11" t="s">
        <v>325</v>
      </c>
      <c r="C79" s="21" t="n">
        <v>-0.04</v>
      </c>
      <c r="D79" s="21" t="n">
        <v>-0.01</v>
      </c>
      <c r="E79" s="21" t="n">
        <v>0.01</v>
      </c>
      <c r="F79" s="71" t="n">
        <f aca="false">INDEX(C79:E79,$C$6)</f>
        <v>-0.01</v>
      </c>
    </row>
    <row r="80" customFormat="false" ht="15" hidden="false" customHeight="true" outlineLevel="0" collapsed="false">
      <c r="B80" s="11" t="s">
        <v>326</v>
      </c>
      <c r="C80" s="21" t="n">
        <v>-0.03</v>
      </c>
      <c r="D80" s="21" t="n">
        <v>0.005</v>
      </c>
      <c r="E80" s="21" t="n">
        <v>0.03</v>
      </c>
      <c r="F80" s="71" t="n">
        <f aca="false">INDEX(C80:E80,$C$6)</f>
        <v>0.005</v>
      </c>
    </row>
    <row r="81" customFormat="false" ht="15" hidden="false" customHeight="true" outlineLevel="0" collapsed="false">
      <c r="B81" s="11" t="s">
        <v>327</v>
      </c>
      <c r="C81" s="21" t="n">
        <v>-0.02</v>
      </c>
      <c r="D81" s="21" t="n">
        <v>0.015</v>
      </c>
      <c r="E81" s="21" t="n">
        <v>0.05</v>
      </c>
      <c r="F81" s="71" t="n">
        <f aca="false">INDEX(C81:E81,$C$6)</f>
        <v>0.015</v>
      </c>
    </row>
    <row r="82" customFormat="false" ht="15" hidden="false" customHeight="true" outlineLevel="0" collapsed="false">
      <c r="B82" s="11" t="s">
        <v>328</v>
      </c>
      <c r="C82" s="21" t="n">
        <v>0.155</v>
      </c>
      <c r="D82" s="21" t="n">
        <v>0.17</v>
      </c>
      <c r="E82" s="21" t="n">
        <v>0.175</v>
      </c>
      <c r="F82" s="71" t="n">
        <f aca="false">INDEX(C82:E82,$C$6)</f>
        <v>0.17</v>
      </c>
    </row>
    <row r="83" customFormat="false" ht="15" hidden="false" customHeight="true" outlineLevel="0" collapsed="false">
      <c r="B83" s="11" t="s">
        <v>329</v>
      </c>
      <c r="C83" s="21" t="n">
        <v>0.16</v>
      </c>
      <c r="D83" s="21" t="n">
        <v>0.18</v>
      </c>
      <c r="E83" s="21" t="n">
        <v>0.19</v>
      </c>
      <c r="F83" s="71" t="n">
        <f aca="false">INDEX(C83:E83,$C$6)</f>
        <v>0.18</v>
      </c>
    </row>
    <row r="84" customFormat="false" ht="15" hidden="false" customHeight="true" outlineLevel="0" collapsed="false">
      <c r="B84" s="11" t="s">
        <v>330</v>
      </c>
      <c r="C84" s="21" t="n">
        <v>0.16</v>
      </c>
      <c r="D84" s="21" t="n">
        <v>0.185</v>
      </c>
      <c r="E84" s="21" t="n">
        <v>0.2</v>
      </c>
      <c r="F84" s="71" t="n">
        <f aca="false">INDEX(C84:E84,$C$6)</f>
        <v>0.185</v>
      </c>
    </row>
    <row r="85" customFormat="false" ht="15" hidden="false" customHeight="true" outlineLevel="0" collapsed="false">
      <c r="B85" s="11" t="s">
        <v>331</v>
      </c>
      <c r="C85" s="21" t="n">
        <v>0.16</v>
      </c>
      <c r="D85" s="21" t="n">
        <v>0.19</v>
      </c>
      <c r="E85" s="21" t="n">
        <v>0.205</v>
      </c>
      <c r="F85" s="71" t="n">
        <f aca="false">INDEX(C85:E85,$C$6)</f>
        <v>0.19</v>
      </c>
    </row>
    <row r="86" customFormat="false" ht="15" hidden="false" customHeight="true" outlineLevel="0" collapsed="false">
      <c r="B86" s="11" t="s">
        <v>332</v>
      </c>
      <c r="C86" s="21" t="n">
        <v>0.16</v>
      </c>
      <c r="D86" s="21" t="n">
        <v>0.19</v>
      </c>
      <c r="E86" s="21" t="n">
        <v>0.21</v>
      </c>
      <c r="F86" s="71" t="n">
        <f aca="false">INDEX(C86:E86,$C$6)</f>
        <v>0.19</v>
      </c>
    </row>
    <row r="88" customFormat="false" ht="15" hidden="false" customHeight="true" outlineLevel="0" collapsed="false">
      <c r="B88" s="70" t="s">
        <v>333</v>
      </c>
      <c r="C88" s="70"/>
      <c r="D88" s="70"/>
      <c r="E88" s="70"/>
      <c r="F88" s="70"/>
      <c r="G88" s="70"/>
    </row>
    <row r="89" customFormat="false" ht="15" hidden="false" customHeight="true" outlineLevel="0" collapsed="false">
      <c r="B89" s="11" t="s">
        <v>334</v>
      </c>
      <c r="C89" s="72" t="n">
        <v>1.45</v>
      </c>
      <c r="D89" s="72" t="n">
        <v>1.3</v>
      </c>
      <c r="E89" s="72" t="n">
        <v>1.15</v>
      </c>
      <c r="F89" s="73" t="n">
        <f aca="false">INDEX(C89:E89,$C$6)</f>
        <v>1.3</v>
      </c>
      <c r="G89" s="17" t="s">
        <v>335</v>
      </c>
    </row>
    <row r="90" customFormat="false" ht="15" hidden="false" customHeight="true" outlineLevel="0" collapsed="false">
      <c r="B90" s="11" t="s">
        <v>336</v>
      </c>
      <c r="C90" s="21" t="n">
        <v>0.02</v>
      </c>
      <c r="D90" s="21" t="n">
        <v>0.025</v>
      </c>
      <c r="E90" s="21" t="n">
        <v>0.03</v>
      </c>
      <c r="F90" s="71" t="n">
        <f aca="false">INDEX(C90:E90,$C$6)</f>
        <v>0.025</v>
      </c>
      <c r="G90" s="17" t="s">
        <v>337</v>
      </c>
    </row>
    <row r="93" customFormat="false" ht="15" hidden="false" customHeight="true" outlineLevel="0" collapsed="false">
      <c r="B93" s="53" t="s">
        <v>338</v>
      </c>
      <c r="C93" s="53"/>
      <c r="D93" s="53"/>
      <c r="E93" s="53"/>
    </row>
    <row r="95" customFormat="false" ht="15" hidden="false" customHeight="true" outlineLevel="0" collapsed="false">
      <c r="B95" s="29" t="s">
        <v>339</v>
      </c>
      <c r="C95" s="29" t="s">
        <v>262</v>
      </c>
      <c r="D95" s="29" t="s">
        <v>251</v>
      </c>
      <c r="E95" s="29" t="s">
        <v>263</v>
      </c>
    </row>
    <row r="96" customFormat="false" ht="15" hidden="false" customHeight="true" outlineLevel="0" collapsed="false">
      <c r="B96" s="11" t="s">
        <v>340</v>
      </c>
      <c r="C96" s="74" t="n">
        <f aca="false">Historicals!E9*(1+Scenarios!C20)*(1+Scenarios!C21)*(1+Scenarios!C22)*(1+Scenarios!C23)*(1+Scenarios!C24)+Historicals!E10*(1+Scenarios!C25)*(1+Scenarios!C26)*(1+Scenarios!C27)*(1+Scenarios!C28)*(1+Scenarios!C29)+Historicals!E11*(1+Scenarios!C30)*(1+Scenarios!C31)*(1+Scenarios!C32)*(1+Scenarios!C33)*(1+Scenarios!C34)+Historicals!E12*(1+Scenarios!C35)*(1+Scenarios!C36)*(1+Scenarios!C37)*(1+Scenarios!C38)*(1+Scenarios!C39)</f>
        <v>26241.6611841802</v>
      </c>
      <c r="D96" s="74" t="n">
        <f aca="false">Historicals!E9*(1+Scenarios!D20)*(1+Scenarios!D21)*(1+Scenarios!D22)*(1+Scenarios!D23)*(1+Scenarios!D24)+Historicals!E10*(1+Scenarios!D25)*(1+Scenarios!D26)*(1+Scenarios!D27)*(1+Scenarios!D28)*(1+Scenarios!D29)+Historicals!E11*(1+Scenarios!D30)*(1+Scenarios!D31)*(1+Scenarios!D32)*(1+Scenarios!D33)*(1+Scenarios!D34)+Historicals!E12*(1+Scenarios!D35)*(1+Scenarios!D36)*(1+Scenarios!D37)*(1+Scenarios!D38)*(1+Scenarios!D39)</f>
        <v>31364.9569222556</v>
      </c>
      <c r="E96" s="74" t="n">
        <f aca="false">Historicals!E9*(1+Scenarios!E20)*(1+Scenarios!E21)*(1+Scenarios!E22)*(1+Scenarios!E23)*(1+Scenarios!E24)+Historicals!E10*(1+Scenarios!E25)*(1+Scenarios!E26)*(1+Scenarios!E27)*(1+Scenarios!E28)*(1+Scenarios!E29)+Historicals!E11*(1+Scenarios!E30)*(1+Scenarios!E31)*(1+Scenarios!E32)*(1+Scenarios!E33)*(1+Scenarios!E34)+Historicals!E12*(1+Scenarios!E35)*(1+Scenarios!E36)*(1+Scenarios!E37)*(1+Scenarios!E38)*(1+Scenarios!E39)</f>
        <v>34360.1806144862</v>
      </c>
    </row>
    <row r="97" customFormat="false" ht="15" hidden="false" customHeight="true" outlineLevel="0" collapsed="false">
      <c r="B97" s="11" t="s">
        <v>341</v>
      </c>
      <c r="C97" s="74" t="n">
        <f aca="false">Historicals!E14*(1+Scenarios!C40)*(1+Scenarios!C41)*(1+Scenarios!C42)*(1+Scenarios!C43)*(1+Scenarios!C44)+Historicals!E15*(1+Scenarios!C45)*(1+Scenarios!C46)*(1+Scenarios!C47)*(1+Scenarios!C48)*(1+Scenarios!C49)+Historicals!E16*(1+Scenarios!C50)*(1+Scenarios!C51)*(1+Scenarios!C52)*(1+Scenarios!C53)*(1+Scenarios!C54)</f>
        <v>10356.3871195794</v>
      </c>
      <c r="D97" s="74" t="n">
        <f aca="false">Historicals!E14*(1+Scenarios!D40)*(1+Scenarios!D41)*(1+Scenarios!D42)*(1+Scenarios!D43)*(1+Scenarios!D44)+Historicals!E15*(1+Scenarios!D45)*(1+Scenarios!D46)*(1+Scenarios!D47)*(1+Scenarios!D48)*(1+Scenarios!D49)+Historicals!E16*(1+Scenarios!D50)*(1+Scenarios!D51)*(1+Scenarios!D52)*(1+Scenarios!D53)*(1+Scenarios!D54)</f>
        <v>10356.3871195794</v>
      </c>
      <c r="E97" s="74" t="n">
        <f aca="false">Historicals!E14*(1+Scenarios!E40)*(1+Scenarios!E41)*(1+Scenarios!E42)*(1+Scenarios!E43)*(1+Scenarios!E44)+Historicals!E15*(1+Scenarios!E45)*(1+Scenarios!E46)*(1+Scenarios!E47)*(1+Scenarios!E48)*(1+Scenarios!E49)+Historicals!E16*(1+Scenarios!E50)*(1+Scenarios!E51)*(1+Scenarios!E52)*(1+Scenarios!E53)*(1+Scenarios!E54)</f>
        <v>10666.3234695794</v>
      </c>
    </row>
    <row r="98" customFormat="false" ht="15" hidden="false" customHeight="true" outlineLevel="0" collapsed="false">
      <c r="B98" s="11" t="s">
        <v>342</v>
      </c>
      <c r="C98" s="74" t="n">
        <f aca="false">Historicals!E18*(1+Scenarios!C55)*(1+Scenarios!C56)*(1+Scenarios!C57)*(1+Scenarios!C58)*(1+Scenarios!C59)+Historicals!E19*(1+Scenarios!C60)*(1+Scenarios!C61)*(1+Scenarios!C62)*(1+Scenarios!C63)*(1+Scenarios!C64)+Historicals!E20*(1+Scenarios!C65)*(1+Scenarios!C66)*(1+Scenarios!C67)*(1+Scenarios!C68)*(1+Scenarios!C69)</f>
        <v>16994.8642042432</v>
      </c>
      <c r="D98" s="74" t="n">
        <f aca="false">Historicals!E18*(1+Scenarios!D55)*(1+Scenarios!D56)*(1+Scenarios!D57)*(1+Scenarios!D58)*(1+Scenarios!D59)+Historicals!E19*(1+Scenarios!D60)*(1+Scenarios!D61)*(1+Scenarios!D62)*(1+Scenarios!D63)*(1+Scenarios!D64)+Historicals!E20*(1+Scenarios!D65)*(1+Scenarios!D66)*(1+Scenarios!D67)*(1+Scenarios!D68)*(1+Scenarios!D69)</f>
        <v>21474.4791150054</v>
      </c>
      <c r="E98" s="74" t="n">
        <f aca="false">Historicals!E18*(1+Scenarios!E55)*(1+Scenarios!E56)*(1+Scenarios!E57)*(1+Scenarios!E58)*(1+Scenarios!E59)+Historicals!E19*(1+Scenarios!E60)*(1+Scenarios!E61)*(1+Scenarios!E62)*(1+Scenarios!E63)*(1+Scenarios!E64)+Historicals!E20*(1+Scenarios!E65)*(1+Scenarios!E66)*(1+Scenarios!E67)*(1+Scenarios!E68)*(1+Scenarios!E69)</f>
        <v>26854.7486347724</v>
      </c>
    </row>
    <row r="99" customFormat="false" ht="15" hidden="false" customHeight="true" outlineLevel="0" collapsed="false">
      <c r="B99" s="11" t="s">
        <v>343</v>
      </c>
      <c r="C99" s="74" t="n">
        <f aca="false">C96*Scenarios!C76</f>
        <v>4198.66578946883</v>
      </c>
      <c r="D99" s="74" t="n">
        <f aca="false">D96*Scenarios!D76</f>
        <v>5645.69224600601</v>
      </c>
      <c r="E99" s="74" t="n">
        <f aca="false">E96*Scenarios!E76</f>
        <v>6872.03612289724</v>
      </c>
    </row>
    <row r="100" customFormat="false" ht="15" hidden="false" customHeight="true" outlineLevel="0" collapsed="false">
      <c r="B100" s="11" t="s">
        <v>344</v>
      </c>
      <c r="C100" s="74" t="n">
        <f aca="false">C97*Scenarios!C81</f>
        <v>-207.127742391588</v>
      </c>
      <c r="D100" s="74" t="n">
        <f aca="false">D97*Scenarios!D81</f>
        <v>155.345806793691</v>
      </c>
      <c r="E100" s="74" t="n">
        <f aca="false">E97*Scenarios!E81</f>
        <v>533.31617347897</v>
      </c>
    </row>
    <row r="101" customFormat="false" ht="15" hidden="false" customHeight="true" outlineLevel="0" collapsed="false">
      <c r="B101" s="11" t="s">
        <v>345</v>
      </c>
      <c r="C101" s="74" t="n">
        <f aca="false">C98*Scenarios!C86</f>
        <v>2719.17827267891</v>
      </c>
      <c r="D101" s="74" t="n">
        <f aca="false">D98*Scenarios!D86</f>
        <v>4080.15103185103</v>
      </c>
      <c r="E101" s="74" t="n">
        <f aca="false">E98*Scenarios!E86</f>
        <v>5639.49721330221</v>
      </c>
    </row>
    <row r="102" customFormat="false" ht="15" hidden="false" customHeight="true" outlineLevel="0" collapsed="false">
      <c r="B102" s="11" t="s">
        <v>346</v>
      </c>
      <c r="C102" s="74" t="n">
        <v>-640</v>
      </c>
      <c r="D102" s="74" t="n">
        <v>-640</v>
      </c>
      <c r="E102" s="74" t="n">
        <v>-640</v>
      </c>
    </row>
    <row r="103" customFormat="false" ht="15" hidden="false" customHeight="true" outlineLevel="0" collapsed="false">
      <c r="B103" s="4" t="s">
        <v>347</v>
      </c>
      <c r="C103" s="75" t="n">
        <f aca="false">C99+C100+C101+C102</f>
        <v>6070.71631975616</v>
      </c>
      <c r="D103" s="75" t="n">
        <f aca="false">D99+D100+D101+D102</f>
        <v>9241.18908465073</v>
      </c>
      <c r="E103" s="75" t="n">
        <f aca="false">E99+E100+E101+E102</f>
        <v>12404.8495096784</v>
      </c>
    </row>
    <row r="104" customFormat="false" ht="15" hidden="false" customHeight="true" outlineLevel="0" collapsed="false">
      <c r="B104" s="17" t="s">
        <v>348</v>
      </c>
      <c r="C104" s="60" t="n">
        <f aca="false">C103/(C96+C97+C98)</f>
        <v>0.113274611057006</v>
      </c>
      <c r="D104" s="60" t="n">
        <f aca="false">D103/(D96+D97+D98)</f>
        <v>0.146231010579857</v>
      </c>
      <c r="E104" s="60" t="n">
        <f aca="false">E103/(E96+E97+E98)</f>
        <v>0.172574197589457</v>
      </c>
    </row>
    <row r="106" customFormat="false" ht="15" hidden="false" customHeight="true" outlineLevel="0" collapsed="false">
      <c r="B106" s="11" t="s">
        <v>349</v>
      </c>
      <c r="C106" s="76" t="n">
        <v>0.125</v>
      </c>
      <c r="D106" s="76" t="n">
        <v>0.113</v>
      </c>
      <c r="E106" s="76" t="n">
        <v>0.1</v>
      </c>
    </row>
    <row r="107" customFormat="false" ht="15" hidden="false" customHeight="true" outlineLevel="0" collapsed="false">
      <c r="B107" s="11" t="s">
        <v>336</v>
      </c>
      <c r="C107" s="60" t="n">
        <f aca="false">Scenarios!C90</f>
        <v>0.02</v>
      </c>
      <c r="D107" s="60" t="n">
        <f aca="false">Scenarios!D90</f>
        <v>0.025</v>
      </c>
      <c r="E107" s="60" t="n">
        <f aca="false">Scenarios!E90</f>
        <v>0.03</v>
      </c>
    </row>
    <row r="108" customFormat="false" ht="15" hidden="false" customHeight="true" outlineLevel="0" collapsed="false">
      <c r="B108" s="11" t="s">
        <v>350</v>
      </c>
      <c r="C108" s="74" t="n">
        <f aca="false">C103*0.57</f>
        <v>3460.30830226101</v>
      </c>
      <c r="D108" s="74" t="n">
        <f aca="false">D103*0.57</f>
        <v>5267.47777825091</v>
      </c>
      <c r="E108" s="74" t="n">
        <f aca="false">E103*0.57</f>
        <v>7070.7642205167</v>
      </c>
    </row>
    <row r="109" customFormat="false" ht="15" hidden="false" customHeight="true" outlineLevel="0" collapsed="false">
      <c r="B109" s="11" t="s">
        <v>168</v>
      </c>
      <c r="C109" s="74" t="n">
        <f aca="false">C108*(1+C107)/(C106-C107)</f>
        <v>33614.4235076784</v>
      </c>
      <c r="D109" s="74" t="n">
        <f aca="false">D108*(1+D107)/(D106-D107)</f>
        <v>61354.144576218</v>
      </c>
      <c r="E109" s="74" t="n">
        <f aca="false">E108*(1+E107)/(E106-E107)</f>
        <v>104041.244959031</v>
      </c>
    </row>
    <row r="110" customFormat="false" ht="15" hidden="false" customHeight="true" outlineLevel="0" collapsed="false">
      <c r="B110" s="11" t="s">
        <v>169</v>
      </c>
      <c r="C110" s="74" t="n">
        <f aca="false">C109/(1+C106)^5</f>
        <v>18653.6169875799</v>
      </c>
      <c r="D110" s="74" t="n">
        <f aca="false">D109/(1+D106)^5</f>
        <v>35922.6265746392</v>
      </c>
      <c r="E110" s="74" t="n">
        <f aca="false">E109/(1+E106)^5</f>
        <v>64601.4274726834</v>
      </c>
    </row>
    <row r="111" customFormat="false" ht="15" hidden="false" customHeight="true" outlineLevel="0" collapsed="false">
      <c r="B111" s="11" t="s">
        <v>351</v>
      </c>
      <c r="C111" s="74" t="n">
        <f aca="false">C110*0.3</f>
        <v>5596.08509627397</v>
      </c>
      <c r="D111" s="74" t="n">
        <f aca="false">D110*0.3</f>
        <v>10776.7879723918</v>
      </c>
      <c r="E111" s="74" t="n">
        <f aca="false">E110*0.3</f>
        <v>19380.428241805</v>
      </c>
    </row>
    <row r="112" customFormat="false" ht="15" hidden="false" customHeight="true" outlineLevel="0" collapsed="false">
      <c r="B112" s="4" t="s">
        <v>178</v>
      </c>
      <c r="C112" s="75" t="n">
        <f aca="false">C110+C111</f>
        <v>24249.7020838539</v>
      </c>
      <c r="D112" s="75" t="n">
        <f aca="false">D110+D111</f>
        <v>46699.414547031</v>
      </c>
      <c r="E112" s="75" t="n">
        <f aca="false">E110+E111</f>
        <v>83981.8557144884</v>
      </c>
    </row>
    <row r="113" customFormat="false" ht="15" hidden="false" customHeight="true" outlineLevel="0" collapsed="false">
      <c r="B113" s="11" t="s">
        <v>352</v>
      </c>
      <c r="C113" s="77" t="n">
        <v>5314</v>
      </c>
      <c r="D113" s="77" t="n">
        <v>5314</v>
      </c>
      <c r="E113" s="77" t="n">
        <v>5314</v>
      </c>
    </row>
    <row r="114" customFormat="false" ht="15" hidden="false" customHeight="true" outlineLevel="0" collapsed="false">
      <c r="B114" s="4" t="s">
        <v>353</v>
      </c>
      <c r="C114" s="75" t="n">
        <f aca="false">C112+C113</f>
        <v>29563.7020838539</v>
      </c>
      <c r="D114" s="75" t="n">
        <f aca="false">D112+D113</f>
        <v>52013.414547031</v>
      </c>
      <c r="E114" s="75" t="n">
        <f aca="false">E112+E113</f>
        <v>89295.8557144884</v>
      </c>
    </row>
    <row r="115" customFormat="false" ht="15" hidden="false" customHeight="true" outlineLevel="0" collapsed="false">
      <c r="B115" s="11" t="s">
        <v>232</v>
      </c>
      <c r="C115" s="44" t="n">
        <v>260</v>
      </c>
      <c r="D115" s="44" t="n">
        <v>260</v>
      </c>
      <c r="E115" s="44" t="n">
        <v>260</v>
      </c>
    </row>
    <row r="116" customFormat="false" ht="15" hidden="false" customHeight="true" outlineLevel="0" collapsed="false">
      <c r="B116" s="34" t="s">
        <v>186</v>
      </c>
      <c r="C116" s="78" t="n">
        <f aca="false">C114/C115</f>
        <v>113.706546476361</v>
      </c>
      <c r="D116" s="78" t="n">
        <f aca="false">D114/D115</f>
        <v>200.051594411658</v>
      </c>
      <c r="E116" s="78" t="n">
        <f aca="false">E114/E115</f>
        <v>343.445598901879</v>
      </c>
    </row>
    <row r="117" customFormat="false" ht="15" hidden="false" customHeight="true" outlineLevel="0" collapsed="false">
      <c r="B117" s="11" t="s">
        <v>354</v>
      </c>
      <c r="C117" s="79" t="n">
        <v>995</v>
      </c>
      <c r="D117" s="79" t="n">
        <v>995</v>
      </c>
      <c r="E117" s="79" t="n">
        <v>995</v>
      </c>
    </row>
    <row r="118" customFormat="false" ht="15" hidden="false" customHeight="true" outlineLevel="0" collapsed="false">
      <c r="B118" s="4" t="s">
        <v>355</v>
      </c>
      <c r="C118" s="80" t="n">
        <f aca="false">C116/C117-1</f>
        <v>-0.885722063842853</v>
      </c>
      <c r="D118" s="80" t="n">
        <f aca="false">D116/D117-1</f>
        <v>-0.798943121194314</v>
      </c>
      <c r="E118" s="80" t="n">
        <f aca="false">E116/E117-1</f>
        <v>-0.654828543817208</v>
      </c>
    </row>
    <row r="120" customFormat="false" ht="15" hidden="false" customHeight="true" outlineLevel="0" collapsed="false">
      <c r="B120" s="69" t="s">
        <v>356</v>
      </c>
      <c r="C120" s="69"/>
      <c r="D120" s="69"/>
      <c r="E120" s="69"/>
    </row>
  </sheetData>
  <mergeCells count="8">
    <mergeCell ref="B8:H8"/>
    <mergeCell ref="B13:H13"/>
    <mergeCell ref="B16:G16"/>
    <mergeCell ref="B19:G19"/>
    <mergeCell ref="B71:G71"/>
    <mergeCell ref="B88:G88"/>
    <mergeCell ref="B93:E93"/>
    <mergeCell ref="B120:E1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0"/>
    <col collapsed="false" customWidth="true" hidden="false" outlineLevel="0" max="14" min="4" style="1" width="14"/>
  </cols>
  <sheetData>
    <row r="2" customFormat="false" ht="17.25" hidden="false" customHeight="true" outlineLevel="0" collapsed="false">
      <c r="B2" s="16" t="s">
        <v>357</v>
      </c>
    </row>
    <row r="3" customFormat="false" ht="15" hidden="false" customHeight="true" outlineLevel="0" collapsed="false">
      <c r="B3" s="17" t="s">
        <v>358</v>
      </c>
    </row>
    <row r="5" customFormat="false" ht="15" hidden="false" customHeight="true" outlineLevel="0" collapsed="false">
      <c r="B5" s="53" t="s">
        <v>359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</row>
    <row r="7" customFormat="false" ht="15" hidden="false" customHeight="true" outlineLevel="0" collapsed="false">
      <c r="B7" s="29" t="s">
        <v>360</v>
      </c>
      <c r="C7" s="29" t="s">
        <v>361</v>
      </c>
      <c r="D7" s="29" t="s">
        <v>362</v>
      </c>
      <c r="E7" s="29" t="s">
        <v>363</v>
      </c>
      <c r="F7" s="29" t="s">
        <v>364</v>
      </c>
      <c r="G7" s="29" t="s">
        <v>365</v>
      </c>
      <c r="H7" s="29" t="s">
        <v>366</v>
      </c>
      <c r="I7" s="29" t="s">
        <v>367</v>
      </c>
      <c r="J7" s="29" t="s">
        <v>368</v>
      </c>
      <c r="K7" s="29" t="s">
        <v>369</v>
      </c>
      <c r="L7" s="29" t="s">
        <v>370</v>
      </c>
      <c r="M7" s="29" t="s">
        <v>371</v>
      </c>
      <c r="N7" s="29" t="s">
        <v>372</v>
      </c>
    </row>
    <row r="8" customFormat="false" ht="15" hidden="false" customHeight="true" outlineLevel="0" collapsed="false">
      <c r="B8" s="81" t="s">
        <v>373</v>
      </c>
      <c r="C8" s="82" t="s">
        <v>374</v>
      </c>
      <c r="D8" s="83" t="n">
        <v>151.2</v>
      </c>
      <c r="E8" s="83" t="n">
        <v>155</v>
      </c>
      <c r="F8" s="83" t="n">
        <v>26.1</v>
      </c>
      <c r="G8" s="83" t="n">
        <v>6.18</v>
      </c>
      <c r="H8" s="76" t="n">
        <v>0.237</v>
      </c>
      <c r="I8" s="76" t="n">
        <v>0.091</v>
      </c>
      <c r="J8" s="84" t="n">
        <v>5.94</v>
      </c>
      <c r="K8" s="84" t="n">
        <v>24</v>
      </c>
      <c r="L8" s="84" t="n">
        <v>20.5</v>
      </c>
      <c r="M8" s="84" t="n">
        <v>34.2</v>
      </c>
      <c r="N8" s="84" t="n">
        <v>27.1</v>
      </c>
    </row>
    <row r="9" customFormat="false" ht="15" hidden="false" customHeight="true" outlineLevel="0" collapsed="false">
      <c r="B9" s="81" t="s">
        <v>375</v>
      </c>
      <c r="C9" s="82" t="s">
        <v>376</v>
      </c>
      <c r="D9" s="83" t="n">
        <v>68.7</v>
      </c>
      <c r="E9" s="83" t="n">
        <v>73.5</v>
      </c>
      <c r="F9" s="83" t="n">
        <v>17.55</v>
      </c>
      <c r="G9" s="83" t="n">
        <v>4.77</v>
      </c>
      <c r="H9" s="76" t="n">
        <v>0.272</v>
      </c>
      <c r="I9" s="76" t="n">
        <v>0.105</v>
      </c>
      <c r="J9" s="84" t="n">
        <v>4.19</v>
      </c>
      <c r="K9" s="84" t="n">
        <v>15.4</v>
      </c>
      <c r="L9" s="84" t="n">
        <v>14.3</v>
      </c>
      <c r="M9" s="84" t="n">
        <v>28.9</v>
      </c>
      <c r="N9" s="84" t="n">
        <v>22.3</v>
      </c>
    </row>
    <row r="10" customFormat="false" ht="15" hidden="false" customHeight="true" outlineLevel="0" collapsed="false">
      <c r="B10" s="81" t="s">
        <v>377</v>
      </c>
      <c r="C10" s="82" t="s">
        <v>378</v>
      </c>
      <c r="D10" s="83" t="n">
        <v>85</v>
      </c>
      <c r="E10" s="83" t="n">
        <v>78</v>
      </c>
      <c r="F10" s="83" t="n">
        <v>45</v>
      </c>
      <c r="G10" s="83" t="n">
        <v>3.2</v>
      </c>
      <c r="H10" s="76" t="n">
        <v>0.071</v>
      </c>
      <c r="I10" s="76" t="n">
        <v>0.17</v>
      </c>
      <c r="J10" s="84" t="n">
        <v>1.73</v>
      </c>
      <c r="K10" s="84" t="n">
        <v>28.9</v>
      </c>
      <c r="L10" s="84" t="n">
        <v>14</v>
      </c>
      <c r="M10" s="84" t="n">
        <v>71.5</v>
      </c>
      <c r="N10" s="84" t="n">
        <v>34.3</v>
      </c>
    </row>
    <row r="11" customFormat="false" ht="15" hidden="false" customHeight="true" outlineLevel="0" collapsed="false">
      <c r="B11" s="81" t="s">
        <v>379</v>
      </c>
      <c r="C11" s="82" t="s">
        <v>380</v>
      </c>
      <c r="D11" s="83" t="n">
        <v>164.8</v>
      </c>
      <c r="E11" s="83" t="n">
        <v>167.3</v>
      </c>
      <c r="F11" s="83" t="n">
        <v>33.2</v>
      </c>
      <c r="G11" s="83" t="n">
        <v>7.1</v>
      </c>
      <c r="H11" s="76" t="n">
        <v>0.214</v>
      </c>
      <c r="I11" s="76" t="n">
        <v>0.066</v>
      </c>
      <c r="J11" s="84" t="n">
        <v>5.04</v>
      </c>
      <c r="K11" s="84" t="n">
        <v>23.5</v>
      </c>
      <c r="L11" s="84" t="n">
        <v>19</v>
      </c>
      <c r="M11" s="84" t="n">
        <v>36.4</v>
      </c>
      <c r="N11" s="84" t="n">
        <v>29.3</v>
      </c>
    </row>
    <row r="12" customFormat="false" ht="15" hidden="false" customHeight="true" outlineLevel="0" collapsed="false">
      <c r="B12" s="81" t="s">
        <v>381</v>
      </c>
      <c r="C12" s="82" t="s">
        <v>382</v>
      </c>
      <c r="D12" s="83" t="n">
        <v>28.5</v>
      </c>
      <c r="E12" s="83" t="n">
        <v>30.1</v>
      </c>
      <c r="F12" s="83" t="n">
        <v>5.91</v>
      </c>
      <c r="G12" s="83" t="n">
        <v>1.41</v>
      </c>
      <c r="H12" s="76" t="n">
        <v>0.239</v>
      </c>
      <c r="I12" s="76" t="n">
        <v>0.059</v>
      </c>
      <c r="J12" s="84" t="n">
        <v>5.09</v>
      </c>
      <c r="K12" s="84" t="n">
        <v>21.3</v>
      </c>
      <c r="L12" s="84" t="n">
        <v>18.5</v>
      </c>
      <c r="M12" s="84" t="n">
        <v>31.9</v>
      </c>
      <c r="N12" s="84" t="n">
        <v>26.7</v>
      </c>
    </row>
    <row r="13" customFormat="false" ht="15" hidden="false" customHeight="true" outlineLevel="0" collapsed="false">
      <c r="B13" s="85" t="s">
        <v>383</v>
      </c>
      <c r="C13" s="86" t="s">
        <v>384</v>
      </c>
      <c r="D13" s="83" t="n">
        <v>215</v>
      </c>
      <c r="E13" s="83" t="n">
        <v>225</v>
      </c>
      <c r="F13" s="83" t="n">
        <v>43</v>
      </c>
      <c r="G13" s="83" t="n">
        <v>8.5</v>
      </c>
      <c r="H13" s="76" t="n">
        <v>0.198</v>
      </c>
      <c r="I13" s="76" t="n">
        <v>0.084</v>
      </c>
      <c r="J13" s="84" t="n">
        <v>5.23</v>
      </c>
      <c r="K13" s="84" t="n">
        <v>26.5</v>
      </c>
      <c r="L13" s="84" t="n">
        <v>22</v>
      </c>
      <c r="M13" s="84" t="n">
        <v>33.5</v>
      </c>
      <c r="N13" s="84" t="n">
        <v>27</v>
      </c>
    </row>
    <row r="14" customFormat="false" ht="15" hidden="false" customHeight="true" outlineLevel="0" collapsed="false">
      <c r="B14" s="85" t="s">
        <v>385</v>
      </c>
      <c r="C14" s="86" t="s">
        <v>386</v>
      </c>
      <c r="D14" s="83" t="n">
        <v>40.5</v>
      </c>
      <c r="E14" s="83" t="n">
        <v>44</v>
      </c>
      <c r="F14" s="83" t="n">
        <v>8.5</v>
      </c>
      <c r="G14" s="83" t="n">
        <v>1.7</v>
      </c>
      <c r="H14" s="76" t="n">
        <v>0.2</v>
      </c>
      <c r="I14" s="76" t="n">
        <v>0.035</v>
      </c>
      <c r="J14" s="84" t="n">
        <v>5.18</v>
      </c>
      <c r="K14" s="84" t="n">
        <v>25.9</v>
      </c>
      <c r="L14" s="84" t="n">
        <v>21</v>
      </c>
      <c r="M14" s="84" t="n">
        <v>40.2</v>
      </c>
      <c r="N14" s="84" t="n">
        <v>30</v>
      </c>
    </row>
    <row r="15" customFormat="false" ht="15" hidden="false" customHeight="true" outlineLevel="0" collapsed="false">
      <c r="B15" s="87" t="s">
        <v>387</v>
      </c>
      <c r="C15" s="88" t="s">
        <v>388</v>
      </c>
      <c r="D15" s="83" t="n">
        <v>70</v>
      </c>
      <c r="E15" s="83" t="n">
        <v>72</v>
      </c>
      <c r="F15" s="83" t="n">
        <v>10.5</v>
      </c>
      <c r="G15" s="83" t="n">
        <v>2.1</v>
      </c>
      <c r="H15" s="76" t="n">
        <v>0.2</v>
      </c>
      <c r="I15" s="76" t="n">
        <v>0.175</v>
      </c>
      <c r="J15" s="84" t="n">
        <v>6.86</v>
      </c>
      <c r="K15" s="84" t="n">
        <v>46</v>
      </c>
      <c r="L15" s="84" t="n">
        <v>28.5</v>
      </c>
      <c r="M15" s="84" t="n">
        <v>76.7</v>
      </c>
      <c r="N15" s="84" t="n">
        <v>42.5</v>
      </c>
    </row>
    <row r="16" customFormat="false" ht="15" hidden="false" customHeight="true" outlineLevel="0" collapsed="false">
      <c r="B16" s="87" t="s">
        <v>389</v>
      </c>
      <c r="C16" s="88" t="s">
        <v>390</v>
      </c>
      <c r="D16" s="83" t="n">
        <v>60</v>
      </c>
      <c r="E16" s="83" t="n">
        <v>64</v>
      </c>
      <c r="F16" s="83" t="n">
        <v>26.5</v>
      </c>
      <c r="G16" s="83" t="n">
        <v>2.4</v>
      </c>
      <c r="H16" s="76" t="n">
        <v>0.091</v>
      </c>
      <c r="I16" s="76" t="n">
        <v>0.135</v>
      </c>
      <c r="J16" s="84" t="n">
        <v>2.42</v>
      </c>
      <c r="K16" s="84" t="n">
        <v>36</v>
      </c>
      <c r="L16" s="84" t="n">
        <v>25</v>
      </c>
      <c r="M16" s="84" t="n">
        <v>82.5</v>
      </c>
      <c r="N16" s="84" t="n">
        <v>42.8</v>
      </c>
    </row>
    <row r="18" customFormat="false" ht="15" hidden="false" customHeight="true" outlineLevel="0" collapsed="false">
      <c r="B18" s="89" t="s">
        <v>391</v>
      </c>
      <c r="C18" s="90" t="s">
        <v>392</v>
      </c>
      <c r="D18" s="91" t="n">
        <v>268.7</v>
      </c>
      <c r="E18" s="91" t="n">
        <v>262.6</v>
      </c>
      <c r="F18" s="91" t="n">
        <v>38.1</v>
      </c>
      <c r="G18" s="91" t="n">
        <v>3.2</v>
      </c>
      <c r="H18" s="80" t="n">
        <v>0.084</v>
      </c>
      <c r="I18" s="80" t="n">
        <v>0.09</v>
      </c>
      <c r="J18" s="92" t="n">
        <f aca="false">E18/F18</f>
        <v>6.89238845144357</v>
      </c>
      <c r="K18" s="92" t="n">
        <f aca="false">E18/G18</f>
        <v>82.0625</v>
      </c>
      <c r="L18" s="92" t="n">
        <f aca="false">E18/'P&amp;L'!F21</f>
        <v>0.052549069619823</v>
      </c>
      <c r="M18" s="92" t="n">
        <v>165.008291873964</v>
      </c>
      <c r="N18" s="92" t="n">
        <f aca="false">995/'P&amp;L'!F43</f>
        <v>95.0234485693919</v>
      </c>
    </row>
    <row r="20" customFormat="false" ht="15" hidden="false" customHeight="true" outlineLevel="0" collapsed="false">
      <c r="B20" s="53" t="s">
        <v>393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</row>
    <row r="21" customFormat="false" ht="15" hidden="false" customHeight="true" outlineLevel="0" collapsed="false">
      <c r="B21" s="4" t="s">
        <v>394</v>
      </c>
      <c r="H21" s="60" t="n">
        <f aca="false">MAX(H8:H16)</f>
        <v>0.272</v>
      </c>
      <c r="I21" s="60" t="n">
        <f aca="false">MAX(I8:I16)</f>
        <v>0.175</v>
      </c>
      <c r="J21" s="93" t="n">
        <f aca="false">MAX(J8:J16)</f>
        <v>6.86</v>
      </c>
      <c r="K21" s="93" t="n">
        <f aca="false">MAX(K8:K16)</f>
        <v>46</v>
      </c>
      <c r="L21" s="93" t="n">
        <f aca="false">MAX(L8:L16)</f>
        <v>28.5</v>
      </c>
      <c r="M21" s="93" t="n">
        <f aca="false">MAX(M8:M16)</f>
        <v>82.5</v>
      </c>
      <c r="N21" s="93" t="n">
        <f aca="false">MAX(N8:N16)</f>
        <v>42.8</v>
      </c>
    </row>
    <row r="22" customFormat="false" ht="15" hidden="false" customHeight="true" outlineLevel="0" collapsed="false">
      <c r="B22" s="4" t="s">
        <v>395</v>
      </c>
      <c r="H22" s="60" t="n">
        <f aca="false">MIN(H8:H16)</f>
        <v>0.071</v>
      </c>
      <c r="I22" s="60" t="n">
        <f aca="false">MIN(I8:I16)</f>
        <v>0.035</v>
      </c>
      <c r="J22" s="93" t="n">
        <f aca="false">MIN(J8:J16)</f>
        <v>1.73</v>
      </c>
      <c r="K22" s="93" t="n">
        <f aca="false">MIN(K8:K16)</f>
        <v>15.4</v>
      </c>
      <c r="L22" s="93" t="n">
        <f aca="false">MIN(L8:L16)</f>
        <v>14</v>
      </c>
      <c r="M22" s="93" t="n">
        <f aca="false">MIN(M8:M16)</f>
        <v>28.9</v>
      </c>
      <c r="N22" s="93" t="n">
        <f aca="false">MIN(N8:N16)</f>
        <v>22.3</v>
      </c>
    </row>
    <row r="23" customFormat="false" ht="15" hidden="false" customHeight="true" outlineLevel="0" collapsed="false">
      <c r="B23" s="4" t="s">
        <v>396</v>
      </c>
      <c r="H23" s="60" t="n">
        <f aca="false">AVERAGE(H8:H16)</f>
        <v>0.191333333333333</v>
      </c>
      <c r="I23" s="60" t="n">
        <f aca="false">AVERAGE(I8:I16)</f>
        <v>0.102222222222222</v>
      </c>
      <c r="J23" s="93" t="n">
        <f aca="false">AVERAGE(J8:J16)</f>
        <v>4.63111111111111</v>
      </c>
      <c r="K23" s="93" t="n">
        <f aca="false">AVERAGE(K8:K16)</f>
        <v>27.5</v>
      </c>
      <c r="L23" s="93" t="n">
        <f aca="false">AVERAGE(L8:L16)</f>
        <v>20.3111111111111</v>
      </c>
      <c r="M23" s="93" t="n">
        <f aca="false">AVERAGE(M8:M16)</f>
        <v>48.4222222222222</v>
      </c>
      <c r="N23" s="93" t="n">
        <f aca="false">AVERAGE(N8:N16)</f>
        <v>31.3333333333333</v>
      </c>
    </row>
    <row r="24" customFormat="false" ht="15" hidden="false" customHeight="true" outlineLevel="0" collapsed="false">
      <c r="B24" s="4" t="s">
        <v>397</v>
      </c>
      <c r="H24" s="61" t="n">
        <f aca="false">MEDIAN(H8:H16)</f>
        <v>0.2</v>
      </c>
      <c r="I24" s="61" t="n">
        <f aca="false">MEDIAN(I8:I16)</f>
        <v>0.091</v>
      </c>
      <c r="J24" s="94" t="n">
        <f aca="false">MEDIAN(J8:J16)</f>
        <v>5.09</v>
      </c>
      <c r="K24" s="94" t="n">
        <f aca="false">MEDIAN(K8:K16)</f>
        <v>25.9</v>
      </c>
      <c r="L24" s="94" t="n">
        <f aca="false">MEDIAN(L8:L16)</f>
        <v>20.5</v>
      </c>
      <c r="M24" s="94" t="n">
        <f aca="false">MEDIAN(M8:M16)</f>
        <v>36.4</v>
      </c>
      <c r="N24" s="94" t="n">
        <f aca="false">MEDIAN(N8:N16)</f>
        <v>29.3</v>
      </c>
    </row>
    <row r="25" customFormat="false" ht="15" hidden="false" customHeight="true" outlineLevel="0" collapsed="false">
      <c r="B25" s="4" t="s">
        <v>398</v>
      </c>
      <c r="H25" s="95" t="n">
        <f aca="false">MEDIAN(H8:H12)</f>
        <v>0.237</v>
      </c>
      <c r="I25" s="95" t="n">
        <f aca="false">MEDIAN(I8:I12)</f>
        <v>0.091</v>
      </c>
      <c r="J25" s="96" t="n">
        <f aca="false">MEDIAN(J8:J12)</f>
        <v>5.04</v>
      </c>
      <c r="K25" s="96" t="n">
        <f aca="false">MEDIAN(K8:K12)</f>
        <v>23.5</v>
      </c>
      <c r="L25" s="96" t="n">
        <f aca="false">MEDIAN(L8:L12)</f>
        <v>18.5</v>
      </c>
      <c r="M25" s="96" t="n">
        <f aca="false">MEDIAN(M8:M12)</f>
        <v>34.2</v>
      </c>
      <c r="N25" s="96" t="n">
        <f aca="false">MEDIAN(N8:N12)</f>
        <v>27.1</v>
      </c>
    </row>
    <row r="28" customFormat="false" ht="15" hidden="false" customHeight="true" outlineLevel="0" collapsed="false">
      <c r="B28" s="53" t="s">
        <v>399</v>
      </c>
      <c r="C28" s="53"/>
      <c r="D28" s="53"/>
      <c r="E28" s="53"/>
      <c r="F28" s="53"/>
      <c r="G28" s="53"/>
      <c r="H28" s="53"/>
    </row>
    <row r="29" customFormat="false" ht="15" hidden="false" customHeight="true" outlineLevel="0" collapsed="false">
      <c r="B29" s="17" t="s">
        <v>400</v>
      </c>
    </row>
    <row r="31" customFormat="false" ht="15" hidden="false" customHeight="true" outlineLevel="0" collapsed="false">
      <c r="B31" s="29" t="s">
        <v>401</v>
      </c>
      <c r="C31" s="29" t="s">
        <v>402</v>
      </c>
      <c r="D31" s="29" t="s">
        <v>403</v>
      </c>
      <c r="E31" s="29" t="s">
        <v>404</v>
      </c>
      <c r="F31" s="29" t="s">
        <v>405</v>
      </c>
      <c r="G31" s="29" t="s">
        <v>406</v>
      </c>
      <c r="H31" s="29" t="s">
        <v>407</v>
      </c>
    </row>
    <row r="32" customFormat="false" ht="15" hidden="false" customHeight="true" outlineLevel="0" collapsed="false">
      <c r="B32" s="17" t="s">
        <v>408</v>
      </c>
      <c r="C32" s="22" t="n">
        <v>5314</v>
      </c>
    </row>
    <row r="33" customFormat="false" ht="15" hidden="false" customHeight="true" outlineLevel="0" collapsed="false">
      <c r="B33" s="17" t="s">
        <v>232</v>
      </c>
      <c r="C33" s="5" t="n">
        <v>270</v>
      </c>
    </row>
    <row r="35" customFormat="false" ht="15" hidden="false" customHeight="true" outlineLevel="0" collapsed="false">
      <c r="B35" s="11" t="s">
        <v>409</v>
      </c>
      <c r="C35" s="39" t="n">
        <f aca="false">Revenue!F28/1000</f>
        <v>44.98983</v>
      </c>
      <c r="D35" s="97" t="n">
        <f aca="false">J24</f>
        <v>5.09</v>
      </c>
      <c r="E35" s="97" t="n">
        <f aca="false">J25</f>
        <v>5.04</v>
      </c>
      <c r="F35" s="31" t="n">
        <f aca="false">C35*D35*1000</f>
        <v>228998.2347</v>
      </c>
      <c r="G35" s="31" t="n">
        <f aca="false">C35*E35*1000</f>
        <v>226748.7432</v>
      </c>
      <c r="H35" s="58" t="n">
        <f aca="false">(G35+$C$32)/$C$33</f>
        <v>859.491641481482</v>
      </c>
    </row>
    <row r="36" customFormat="false" ht="15" hidden="false" customHeight="true" outlineLevel="0" collapsed="false">
      <c r="B36" s="11" t="s">
        <v>410</v>
      </c>
      <c r="C36" s="39" t="n">
        <f aca="false">'P&amp;L'!F21/1000</f>
        <v>4.99723405</v>
      </c>
      <c r="D36" s="97" t="n">
        <f aca="false">L24</f>
        <v>20.5</v>
      </c>
      <c r="E36" s="97" t="n">
        <f aca="false">L25</f>
        <v>18.5</v>
      </c>
      <c r="F36" s="31" t="n">
        <f aca="false">C36*D36*1000</f>
        <v>102443.298025</v>
      </c>
      <c r="G36" s="31" t="n">
        <f aca="false">C36*E36*1000</f>
        <v>92448.829925</v>
      </c>
      <c r="H36" s="58" t="n">
        <f aca="false">(G36+$C$32)/$C$33</f>
        <v>362.084555277778</v>
      </c>
    </row>
    <row r="37" customFormat="false" ht="15" hidden="false" customHeight="true" outlineLevel="0" collapsed="false">
      <c r="B37" s="11" t="s">
        <v>411</v>
      </c>
      <c r="C37" s="39" t="n">
        <f aca="false">'P&amp;L'!G21/1000</f>
        <v>6.3141659055</v>
      </c>
      <c r="D37" s="97" t="n">
        <f aca="false">L24</f>
        <v>20.5</v>
      </c>
      <c r="E37" s="97" t="n">
        <f aca="false">L25</f>
        <v>18.5</v>
      </c>
      <c r="F37" s="31" t="n">
        <f aca="false">C37*D37*1000</f>
        <v>129440.40106275</v>
      </c>
      <c r="G37" s="31" t="n">
        <f aca="false">C37*E37*1000</f>
        <v>116812.06925175</v>
      </c>
      <c r="H37" s="58" t="n">
        <f aca="false">(G37+$C$32)/$C$33</f>
        <v>452.318775006481</v>
      </c>
    </row>
    <row r="38" customFormat="false" ht="15" hidden="false" customHeight="true" outlineLevel="0" collapsed="false">
      <c r="B38" s="11" t="s">
        <v>412</v>
      </c>
      <c r="C38" s="98" t="n">
        <f aca="false">'P&amp;L'!F43</f>
        <v>10.4710996599265</v>
      </c>
      <c r="D38" s="97" t="n">
        <f aca="false">N24</f>
        <v>29.3</v>
      </c>
      <c r="E38" s="97" t="n">
        <f aca="false">N25</f>
        <v>27.1</v>
      </c>
      <c r="F38" s="31" t="n">
        <f aca="false">C38*D38*$C$33</f>
        <v>82836.8694096783</v>
      </c>
      <c r="G38" s="31" t="n">
        <f aca="false">C38*E38*$C$33</f>
        <v>76617.036211682</v>
      </c>
      <c r="H38" s="58" t="n">
        <f aca="false">C38*E38</f>
        <v>283.766800784007</v>
      </c>
    </row>
    <row r="39" customFormat="false" ht="15" hidden="false" customHeight="true" outlineLevel="0" collapsed="false">
      <c r="B39" s="11" t="s">
        <v>413</v>
      </c>
      <c r="C39" s="98" t="n">
        <f aca="false">'P&amp;L'!G43</f>
        <v>14.192596441791</v>
      </c>
      <c r="D39" s="97" t="n">
        <f aca="false">N24</f>
        <v>29.3</v>
      </c>
      <c r="E39" s="97" t="n">
        <f aca="false">N25</f>
        <v>27.1</v>
      </c>
      <c r="F39" s="31" t="n">
        <f aca="false">C39*D39*$C$33</f>
        <v>112277.630451009</v>
      </c>
      <c r="G39" s="31" t="n">
        <f aca="false">C39*E39*$C$33</f>
        <v>103847.228164585</v>
      </c>
      <c r="H39" s="58" t="n">
        <f aca="false">C39*E39</f>
        <v>384.619363572537</v>
      </c>
    </row>
    <row r="41" customFormat="false" ht="15" hidden="false" customHeight="true" outlineLevel="0" collapsed="false">
      <c r="B41" s="99" t="s">
        <v>414</v>
      </c>
    </row>
    <row r="42" customFormat="false" ht="15" hidden="false" customHeight="true" outlineLevel="0" collapsed="false">
      <c r="B42" s="11" t="s">
        <v>415</v>
      </c>
      <c r="H42" s="57" t="n">
        <f aca="false">MIN(H35:H39)</f>
        <v>283.766800784007</v>
      </c>
    </row>
    <row r="43" customFormat="false" ht="15" hidden="false" customHeight="true" outlineLevel="0" collapsed="false">
      <c r="B43" s="11" t="s">
        <v>416</v>
      </c>
      <c r="H43" s="57" t="n">
        <f aca="false">MAX(H35:H39)</f>
        <v>859.491641481482</v>
      </c>
    </row>
    <row r="44" customFormat="false" ht="15" hidden="false" customHeight="true" outlineLevel="0" collapsed="false">
      <c r="B44" s="4" t="s">
        <v>396</v>
      </c>
      <c r="H44" s="58" t="n">
        <f aca="false">AVERAGE(H35:H39)</f>
        <v>468.456227224457</v>
      </c>
    </row>
    <row r="45" customFormat="false" ht="15" hidden="false" customHeight="true" outlineLevel="0" collapsed="false">
      <c r="B45" s="4" t="s">
        <v>397</v>
      </c>
      <c r="H45" s="58" t="n">
        <f aca="false">MEDIAN(H35:H39)</f>
        <v>384.619363572537</v>
      </c>
    </row>
    <row r="47" customFormat="false" ht="15" hidden="false" customHeight="true" outlineLevel="0" collapsed="false">
      <c r="B47" s="11" t="s">
        <v>417</v>
      </c>
      <c r="H47" s="79" t="n">
        <v>995</v>
      </c>
    </row>
    <row r="48" customFormat="false" ht="15" hidden="false" customHeight="true" outlineLevel="0" collapsed="false">
      <c r="B48" s="4" t="s">
        <v>418</v>
      </c>
      <c r="H48" s="80" t="n">
        <f aca="false">H43/H47-1</f>
        <v>-0.136189305043737</v>
      </c>
    </row>
    <row r="51" customFormat="false" ht="15" hidden="false" customHeight="true" outlineLevel="0" collapsed="false">
      <c r="B51" s="53" t="s">
        <v>419</v>
      </c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customFormat="false" ht="15" hidden="false" customHeight="true" outlineLevel="0" collapsed="false">
      <c r="B52" s="15" t="s">
        <v>420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customFormat="false" ht="15" hidden="false" customHeight="true" outlineLevel="0" collapsed="false">
      <c r="B53" s="15" t="s">
        <v>421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customFormat="false" ht="15" hidden="false" customHeight="true" outlineLevel="0" collapsed="false">
      <c r="B54" s="15" t="s">
        <v>422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customFormat="false" ht="15" hidden="false" customHeight="true" outlineLevel="0" collapsed="false">
      <c r="B55" s="15" t="s">
        <v>423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customFormat="false" ht="15" hidden="false" customHeight="true" outlineLevel="0" collapsed="false">
      <c r="B56" s="15" t="s">
        <v>424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customFormat="false" ht="15" hidden="false" customHeight="true" outlineLevel="0" collapsed="false">
      <c r="B57" s="15" t="s">
        <v>425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</row>
  </sheetData>
  <mergeCells count="10">
    <mergeCell ref="B5:M5"/>
    <mergeCell ref="B20:N20"/>
    <mergeCell ref="B28:H28"/>
    <mergeCell ref="B51:N51"/>
    <mergeCell ref="B52:N52"/>
    <mergeCell ref="B53:N53"/>
    <mergeCell ref="B54:N54"/>
    <mergeCell ref="B55:N55"/>
    <mergeCell ref="B56:N56"/>
    <mergeCell ref="B57:N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2026-04-14T17:11:42Z</dcterms:created>
  <dc:creator>openpyxl</dc:creator>
  <dc:description/>
  <dc:language>en-US</dc:language>
  <cp:lastModifiedBy/>
  <dcterms:modified xsi:type="dcterms:W3CDTF">2026-04-15T03:01:11Z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