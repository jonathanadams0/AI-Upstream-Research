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GEV" sheetId="2" state="visible" r:id="rId4"/>
    <sheet name="CEG" sheetId="3" state="visible" r:id="rId5"/>
    <sheet name="NRG" sheetId="4" state="visible" r:id="rId6"/>
    <sheet name="VST" sheetId="5" state="visible" r:id="rId7"/>
    <sheet name="MU" sheetId="6" state="visible" r:id="rId8"/>
    <sheet name="AVGO" sheetId="7" state="visible" r:id="rId9"/>
    <sheet name="LRCX" sheetId="8" state="visible" r:id="rId10"/>
    <sheet name="VRT" sheetId="9" state="visible" r:id="rId11"/>
    <sheet name="ANET" sheetId="10" state="visible" r:id="rId12"/>
    <sheet name="BE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<sst xmlns="http://schemas.openxmlformats.org/spreadsheetml/2006/main" count="248" uniqueCount="89">
  <si>
    <t xml:space="preserve">PT AUDIT MODELS — Top 10 Buy-Rated Names (EPS × Multiple)</t>
  </si>
  <si>
    <t xml:space="preserve">Built 2026-07-07 per Vault Review §5 (make every PT auditable). Green = pulls from name tabs. Not yet covered: MRVL, CCJ, NBIS, + T3/T4 Buys — next pass. Refresh each tab at its print.</t>
  </si>
  <si>
    <t xml:space="preserve">Ticker</t>
  </si>
  <si>
    <t xml:space="preserve">Price 7/7</t>
  </si>
  <si>
    <t xml:space="preserve">PT</t>
  </si>
  <si>
    <t xml:space="preserve">Bear</t>
  </si>
  <si>
    <t xml:space="preserve">NTM EPS (cons)</t>
  </si>
  <si>
    <t xml:space="preserve">P/E @ price</t>
  </si>
  <si>
    <t xml:space="preserve">P/E @ PT</t>
  </si>
  <si>
    <t xml:space="preserve">Asymmetry</t>
  </si>
  <si>
    <t xml:space="preserve">Audit flag</t>
  </si>
  <si>
    <t xml:space="preserve">GEV</t>
  </si>
  <si>
    <t xml:space="preserve">⚠️ 35x anchor ≠ PT (79x NTM) — re-anchor Jul 22</t>
  </si>
  <si>
    <t xml:space="preserve">CEG</t>
  </si>
  <si>
    <t xml:space="preserve">EBITDA primary; P/E view distorted</t>
  </si>
  <si>
    <t xml:space="preserve">NRG</t>
  </si>
  <si>
    <t xml:space="preserve">Clean</t>
  </si>
  <si>
    <t xml:space="preserve">VST</t>
  </si>
  <si>
    <t xml:space="preserve">High estimate dispersion</t>
  </si>
  <si>
    <t xml:space="preserve">MU</t>
  </si>
  <si>
    <t xml:space="preserve">Conservative vs consensus (vault $120 &lt; cons $131.8)</t>
  </si>
  <si>
    <t xml:space="preserve">AVGO</t>
  </si>
  <si>
    <t xml:space="preserve">Anchor migration question (Sep 3)</t>
  </si>
  <si>
    <t xml:space="preserve">LRCX</t>
  </si>
  <si>
    <t xml:space="preserve">Reconciles ~60–64x; Jul 29 adjudicates</t>
  </si>
  <si>
    <t xml:space="preserve">VRT</t>
  </si>
  <si>
    <t xml:space="preserve">⚠️ No logged multiple anchor — set Jul 29</t>
  </si>
  <si>
    <t xml:space="preserve">ANET</t>
  </si>
  <si>
    <t xml:space="preserve">BE</t>
  </si>
  <si>
    <t xml:space="preserve">EV/Rev anchor; P/E n/a</t>
  </si>
  <si>
    <t xml:space="preserve">GEV — PT Audit Model (EPS × multiple)</t>
  </si>
  <si>
    <t xml:space="preserve">Built 2026-07-07. Consensus: Robinhood quarterly estimates 7/7 (next two quarters; NTM = 2 × sum — approximation, refine as quarters print). Prices: FMP live 7/7. Blue = input, Black = formula.</t>
  </si>
  <si>
    <t xml:space="preserve">Current price ($)</t>
  </si>
  <si>
    <t xml:space="preserve">Our PT ($)</t>
  </si>
  <si>
    <t xml:space="preserve">Bear ($)</t>
  </si>
  <si>
    <t xml:space="preserve">Cons EPS — Q2'26e (Jul 22)</t>
  </si>
  <si>
    <t xml:space="preserve">Cons EPS — Q3'26e</t>
  </si>
  <si>
    <t xml:space="preserve">NTM EPS (approx = 2×(B7+B8))</t>
  </si>
  <si>
    <t xml:space="preserve">P/E at current price</t>
  </si>
  <si>
    <t xml:space="preserve">P/E implied at PT</t>
  </si>
  <si>
    <t xml:space="preserve">P/E implied at bear</t>
  </si>
  <si>
    <t xml:space="preserve">Stated multiple anchor</t>
  </si>
  <si>
    <t xml:space="preserve">Required NTM EPS for PT at stated mult</t>
  </si>
  <si>
    <t xml:space="preserve">Consensus NTM vs required (gap)</t>
  </si>
  <si>
    <t xml:space="preserve">Asymmetry (PT−P)/(P−bear)</t>
  </si>
  <si>
    <t xml:space="preserve">Methodology (as logged in Decisions Log):</t>
  </si>
  <si>
    <t xml:space="preserve">Thesis-driven — logged as 'NTM P/E 35x' (6/3)</t>
  </si>
  <si>
    <t xml:space="preserve">Implied price grid — NTM EPS (rows) × multiple (cols). All formulas.</t>
  </si>
  <si>
    <t xml:space="preserve">EPS \ Mult</t>
  </si>
  <si>
    <t xml:space="preserve">Audit note:</t>
  </si>
  <si>
    <t xml:space="preserve">MAJOR RECONCILIATION FLAG: 35x × consensus NTM $15.10 = $529, vs PT $1,200 (79x NTM). The PT is effectively anchored to FY2028 earnings power / backlog conversion, not NTM. Re-anchor the PT methodology EXPLICITLY at the Jul 22 print (backlog &gt;=105GW branch).</t>
  </si>
  <si>
    <t xml:space="preserve">CEG — PT Audit Model (EPS × multiple)</t>
  </si>
  <si>
    <t xml:space="preserve">Cons EPS — Q2'26e (Aug 6)</t>
  </si>
  <si>
    <t xml:space="preserve">—</t>
  </si>
  <si>
    <t xml:space="preserve">DCF + variant perception (EV/EBITDA; 14x exit in DCF)</t>
  </si>
  <si>
    <t xml:space="preserve">PT = 31x NTM P/E vs 19.5x at price. P/E view distorted by D&amp;A/nuclear depreciation — EV/EBITDA stays primary. PJM sensitivity staged separately (see CEG_PJM_Sensitivity_2026-07-14).</t>
  </si>
  <si>
    <t xml:space="preserve">NRG — PT Audit Model (EPS × multiple)</t>
  </si>
  <si>
    <t xml:space="preserve">Cons EPS — Q2'26e (Aug 4)</t>
  </si>
  <si>
    <t xml:space="preserve">Variant perception (6/3)</t>
  </si>
  <si>
    <t xml:space="preserve">Cleanest T1 audit: PT = 18.5x NTM vs 13.8x current — modest re-rating assumption. No flag.</t>
  </si>
  <si>
    <t xml:space="preserve">VST — PT Audit Model (EPS × multiple)</t>
  </si>
  <si>
    <t xml:space="preserve">Cons EPS — Q2'26e (Aug 7)</t>
  </si>
  <si>
    <t xml:space="preserve">Variant perception; bear re-underwritten 6/23 (9x $6.5B EBITDA =&gt; ~$105; MP bear $145)</t>
  </si>
  <si>
    <t xml:space="preserve">PT = 25x NTM vs 17x current. High estimate dispersion (Q4'25 printed $0.54 vs $2.38 est) — treat NTM with wide error bars; Cogentrix decision at Aug 7 print.</t>
  </si>
  <si>
    <t xml:space="preserve">MU — PT Audit Model (EPS × multiple)</t>
  </si>
  <si>
    <t xml:space="preserve">Cons EPS — FQ4'26e (Sep 22)</t>
  </si>
  <si>
    <t xml:space="preserve">Cons EPS — FQ1'27e</t>
  </si>
  <si>
    <t xml:space="preserve">Catalyst Playbook upgrade (6/25) — 12.5x NTM ~$120</t>
  </si>
  <si>
    <t xml:space="preserve">Cheapest tab in the book: 7.0x consensus NTM $131.8 at $921; PT = 11.4x. Vault's $120 NTM anchor is BELOW consensus — conservative. The whole debate is cyclicality: bear case = peak-EPS x trough-multiple, hence the $900 floor protocol (armed 7/7).</t>
  </si>
  <si>
    <t xml:space="preserve">AVGO — PT Audit Model (EPS × multiple)</t>
  </si>
  <si>
    <t xml:space="preserve">Cons EPS — FQ3'26e (Sep 3)</t>
  </si>
  <si>
    <t xml:space="preserve">Cons EPS — FQ4'26e</t>
  </si>
  <si>
    <t xml:space="preserve">EV/Revenue ~14x NTM (initiation); triggers re-checked 7/7 (Buy reaffirmed)</t>
  </si>
  <si>
    <t xml:space="preserve">EPS path steepening: FQ3e $3.16 vs $2.44 just printed (+30% q/q). PT = 40x NTM P/E. Consider migrating the PT anchor from EV/Revenue to P/E as software mix stabilizes — decide at Sep 3 print.</t>
  </si>
  <si>
    <t xml:space="preserve">LRCX — PT Audit Model (EPS × multiple)</t>
  </si>
  <si>
    <t xml:space="preserve">Cons EPS — FQ4'26e (Jul 29)</t>
  </si>
  <si>
    <t xml:space="preserve">Revised estimates (6/18) — ~60x FY27 EPS ~$7.25 =&gt; $435-472</t>
  </si>
  <si>
    <t xml:space="preserve">Roughly reconciles: 60x × cons NTM $6.98 = $419; PT $450 needs ~64x or FY27 EPS upside toward the vault's $7.25. Within tolerance; Jul 29 print adjudicates (rev &gt;=$6.8B + guide &gt;=$7.0B = bull branch).</t>
  </si>
  <si>
    <t xml:space="preserve">VRT — PT Audit Model (EPS × multiple)</t>
  </si>
  <si>
    <t xml:space="preserve">Cons EPS — Q2'26e (Jul 29)</t>
  </si>
  <si>
    <t xml:space="preserve">Thesis-driven (AI cooling pure-play); no logged multiple anchor</t>
  </si>
  <si>
    <t xml:space="preserve">FLAG: PT = 57x NTM with no logged multiple anchor — the only top-10 PT with no stated methodology number. Set the anchor at the Jul 29 print.</t>
  </si>
  <si>
    <t xml:space="preserve">ANET — PT Audit Model (EPS × multiple)</t>
  </si>
  <si>
    <t xml:space="preserve">Thesis-driven (AI Ethernet)</t>
  </si>
  <si>
    <t xml:space="preserve">PT = 52.9x NTM vs 46.7x current — modest premium, internally consistent. No flag.</t>
  </si>
  <si>
    <t xml:space="preserve">BE — PT Audit Model (EPS × multiple)</t>
  </si>
  <si>
    <t xml:space="preserve">Cons EPS — Q2'26e (Jul 28)</t>
  </si>
  <si>
    <t xml:space="preserve">EV/Revenue (per valuation snapshot)</t>
  </si>
  <si>
    <t xml:space="preserve">P/E view is for completeness only (158x NTM — meaningless for a company at breakeven inflection). EV/Revenue is the anchor; refresh it at the Jul 28 print (date corrected 7/7; was Aug 6). Jupiter/NM approval still the binary.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</si>
</sst>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.0\x"/>
    <numFmt numFmtId="167" formatCode="0.00\x"/>
    <numFmt numFmtId="168" formatCode="0.0%"/>
    <numFmt numFmtId="169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9" min="9" style="0" width="5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n">
        <f aca="false">GEV!B4</f>
        <v>1036.56</v>
      </c>
      <c r="C5" s="5" t="n">
        <f aca="false">GEV!B5</f>
        <v>1200</v>
      </c>
      <c r="D5" s="5" t="n">
        <f aca="false">GEV!B6</f>
        <v>600</v>
      </c>
      <c r="E5" s="5" t="n">
        <f aca="false">GEV!B9</f>
        <v>15.1</v>
      </c>
      <c r="F5" s="6" t="n">
        <f aca="false">GEV!B10</f>
        <v>68.646357615894</v>
      </c>
      <c r="G5" s="6" t="n">
        <f aca="false">GEV!B11</f>
        <v>79.4701986754967</v>
      </c>
      <c r="H5" s="7" t="n">
        <f aca="false">GEV!B16</f>
        <v>0.37438152831226</v>
      </c>
      <c r="I5" s="2" t="s">
        <v>12</v>
      </c>
    </row>
    <row r="6" customFormat="false" ht="15" hidden="false" customHeight="false" outlineLevel="0" collapsed="false">
      <c r="A6" s="4" t="s">
        <v>13</v>
      </c>
      <c r="B6" s="5" t="n">
        <f aca="false">CEG!B4</f>
        <v>242.26</v>
      </c>
      <c r="C6" s="5" t="n">
        <f aca="false">CEG!B5</f>
        <v>385</v>
      </c>
      <c r="D6" s="5" t="n">
        <f aca="false">CEG!B6</f>
        <v>220</v>
      </c>
      <c r="E6" s="5" t="n">
        <f aca="false">CEG!B9</f>
        <v>12.42</v>
      </c>
      <c r="F6" s="6" t="n">
        <f aca="false">CEG!B10</f>
        <v>19.5056360708535</v>
      </c>
      <c r="G6" s="6" t="n">
        <f aca="false">CEG!B11</f>
        <v>30.9983896940419</v>
      </c>
      <c r="H6" s="7" t="n">
        <f aca="false">CEG!B16</f>
        <v>6.41239892183289</v>
      </c>
      <c r="I6" s="2" t="s">
        <v>14</v>
      </c>
    </row>
    <row r="7" customFormat="false" ht="15" hidden="false" customHeight="false" outlineLevel="0" collapsed="false">
      <c r="A7" s="4" t="s">
        <v>15</v>
      </c>
      <c r="B7" s="5" t="n">
        <f aca="false">NRG!B4</f>
        <v>138.04</v>
      </c>
      <c r="C7" s="5" t="n">
        <f aca="false">NRG!B5</f>
        <v>185</v>
      </c>
      <c r="D7" s="5" t="n">
        <f aca="false">NRG!B6</f>
        <v>110</v>
      </c>
      <c r="E7" s="5" t="n">
        <f aca="false">NRG!B9</f>
        <v>9.98</v>
      </c>
      <c r="F7" s="6" t="n">
        <f aca="false">NRG!B10</f>
        <v>13.8316633266533</v>
      </c>
      <c r="G7" s="6" t="n">
        <f aca="false">NRG!B11</f>
        <v>18.5370741482966</v>
      </c>
      <c r="H7" s="7" t="n">
        <f aca="false">NRG!B16</f>
        <v>1.67475035663338</v>
      </c>
      <c r="I7" s="2" t="s">
        <v>16</v>
      </c>
    </row>
    <row r="8" customFormat="false" ht="15" hidden="false" customHeight="false" outlineLevel="0" collapsed="false">
      <c r="A8" s="4" t="s">
        <v>17</v>
      </c>
      <c r="B8" s="5" t="n">
        <f aca="false">VST!B4</f>
        <v>154.73</v>
      </c>
      <c r="C8" s="5" t="n">
        <f aca="false">VST!B5</f>
        <v>230</v>
      </c>
      <c r="D8" s="5" t="n">
        <f aca="false">VST!B6</f>
        <v>145</v>
      </c>
      <c r="E8" s="5" t="n">
        <f aca="false">VST!B9</f>
        <v>9.16</v>
      </c>
      <c r="F8" s="6" t="n">
        <f aca="false">VST!B10</f>
        <v>16.8919213973799</v>
      </c>
      <c r="G8" s="6" t="n">
        <f aca="false">VST!B11</f>
        <v>25.1091703056769</v>
      </c>
      <c r="H8" s="7" t="n">
        <f aca="false">VST!B16</f>
        <v>7.73586844809867</v>
      </c>
      <c r="I8" s="2" t="s">
        <v>18</v>
      </c>
    </row>
    <row r="9" customFormat="false" ht="15" hidden="false" customHeight="false" outlineLevel="0" collapsed="false">
      <c r="A9" s="4" t="s">
        <v>19</v>
      </c>
      <c r="B9" s="5" t="n">
        <f aca="false">MU!B4</f>
        <v>921</v>
      </c>
      <c r="C9" s="5" t="n">
        <f aca="false">MU!B5</f>
        <v>1500</v>
      </c>
      <c r="D9" s="5" t="n">
        <f aca="false">MU!B6</f>
        <v>900</v>
      </c>
      <c r="E9" s="5" t="n">
        <f aca="false">MU!B9</f>
        <v>131.8</v>
      </c>
      <c r="F9" s="6" t="n">
        <f aca="false">MU!B10</f>
        <v>6.98786039453718</v>
      </c>
      <c r="G9" s="6" t="n">
        <f aca="false">MU!B11</f>
        <v>11.3808801213961</v>
      </c>
      <c r="H9" s="7" t="n">
        <f aca="false">MU!B16</f>
        <v>27.5714285714286</v>
      </c>
      <c r="I9" s="2" t="s">
        <v>20</v>
      </c>
    </row>
    <row r="10" customFormat="false" ht="15" hidden="false" customHeight="false" outlineLevel="0" collapsed="false">
      <c r="A10" s="4" t="s">
        <v>21</v>
      </c>
      <c r="B10" s="5" t="n">
        <f aca="false">AVGO!B4</f>
        <v>364.49</v>
      </c>
      <c r="C10" s="5" t="n">
        <f aca="false">AVGO!B5</f>
        <v>560</v>
      </c>
      <c r="D10" s="5" t="n">
        <f aca="false">AVGO!B6</f>
        <v>350</v>
      </c>
      <c r="E10" s="5" t="n">
        <f aca="false">AVGO!B9</f>
        <v>13.9</v>
      </c>
      <c r="F10" s="6" t="n">
        <f aca="false">AVGO!B10</f>
        <v>26.2223021582734</v>
      </c>
      <c r="G10" s="6" t="n">
        <f aca="false">AVGO!B11</f>
        <v>40.2877697841727</v>
      </c>
      <c r="H10" s="7" t="n">
        <f aca="false">AVGO!B16</f>
        <v>13.4927536231884</v>
      </c>
      <c r="I10" s="2" t="s">
        <v>22</v>
      </c>
    </row>
    <row r="11" customFormat="false" ht="15" hidden="false" customHeight="false" outlineLevel="0" collapsed="false">
      <c r="A11" s="4" t="s">
        <v>23</v>
      </c>
      <c r="B11" s="5" t="n">
        <f aca="false">LRCX!B4</f>
        <v>315.68</v>
      </c>
      <c r="C11" s="5" t="n">
        <f aca="false">LRCX!B5</f>
        <v>450</v>
      </c>
      <c r="D11" s="5" t="n">
        <f aca="false">LRCX!B6</f>
        <v>200</v>
      </c>
      <c r="E11" s="5" t="n">
        <f aca="false">LRCX!B9</f>
        <v>6.98</v>
      </c>
      <c r="F11" s="6" t="n">
        <f aca="false">LRCX!B10</f>
        <v>45.2263610315186</v>
      </c>
      <c r="G11" s="6" t="n">
        <f aca="false">LRCX!B11</f>
        <v>64.4699140401146</v>
      </c>
      <c r="H11" s="7" t="n">
        <f aca="false">LRCX!B16</f>
        <v>1.16113416320885</v>
      </c>
      <c r="I11" s="2" t="s">
        <v>24</v>
      </c>
    </row>
    <row r="12" customFormat="false" ht="15" hidden="false" customHeight="false" outlineLevel="0" collapsed="false">
      <c r="A12" s="4" t="s">
        <v>25</v>
      </c>
      <c r="B12" s="5" t="n">
        <f aca="false">VRT!B4</f>
        <v>288.49</v>
      </c>
      <c r="C12" s="5" t="n">
        <f aca="false">VRT!B5</f>
        <v>370</v>
      </c>
      <c r="D12" s="5" t="n">
        <f aca="false">VRT!B6</f>
        <v>220</v>
      </c>
      <c r="E12" s="5" t="n">
        <f aca="false">VRT!B9</f>
        <v>6.44</v>
      </c>
      <c r="F12" s="6" t="n">
        <f aca="false">VRT!B10</f>
        <v>44.7965838509317</v>
      </c>
      <c r="G12" s="6" t="n">
        <f aca="false">VRT!B11</f>
        <v>57.4534161490683</v>
      </c>
      <c r="H12" s="7" t="n">
        <f aca="false">VRT!B16</f>
        <v>1.19010074463425</v>
      </c>
      <c r="I12" s="2" t="s">
        <v>26</v>
      </c>
    </row>
    <row r="13" customFormat="false" ht="15" hidden="false" customHeight="false" outlineLevel="0" collapsed="false">
      <c r="A13" s="4" t="s">
        <v>27</v>
      </c>
      <c r="B13" s="5" t="n">
        <f aca="false">ANET!B4</f>
        <v>163.39</v>
      </c>
      <c r="C13" s="5" t="n">
        <f aca="false">ANET!B5</f>
        <v>185</v>
      </c>
      <c r="D13" s="5" t="n">
        <f aca="false">ANET!B6</f>
        <v>90</v>
      </c>
      <c r="E13" s="5" t="n">
        <f aca="false">ANET!B9</f>
        <v>3.5</v>
      </c>
      <c r="F13" s="6" t="n">
        <f aca="false">ANET!B10</f>
        <v>46.6828571428571</v>
      </c>
      <c r="G13" s="6" t="n">
        <f aca="false">ANET!B11</f>
        <v>52.8571428571429</v>
      </c>
      <c r="H13" s="7" t="n">
        <f aca="false">ANET!B16</f>
        <v>0.294454285324976</v>
      </c>
      <c r="I13" s="2" t="s">
        <v>16</v>
      </c>
    </row>
    <row r="14" customFormat="false" ht="15" hidden="false" customHeight="false" outlineLevel="0" collapsed="false">
      <c r="A14" s="4" t="s">
        <v>28</v>
      </c>
      <c r="B14" s="5" t="n">
        <f aca="false">BE!B4</f>
        <v>265.56</v>
      </c>
      <c r="C14" s="5" t="n">
        <f aca="false">BE!B5</f>
        <v>330</v>
      </c>
      <c r="D14" s="5" t="n">
        <f aca="false">BE!B6</f>
        <v>120</v>
      </c>
      <c r="E14" s="5" t="n">
        <f aca="false">BE!B9</f>
        <v>1.68</v>
      </c>
      <c r="F14" s="6" t="n">
        <f aca="false">BE!B10</f>
        <v>158.071428571429</v>
      </c>
      <c r="G14" s="6" t="n">
        <f aca="false">BE!B11</f>
        <v>196.428571428571</v>
      </c>
      <c r="H14" s="7" t="n">
        <f aca="false">BE!B16</f>
        <v>0.442704039571311</v>
      </c>
      <c r="I14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3"/>
  </cols>
  <sheetData>
    <row r="1" customFormat="false" ht="16.1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4" t="s">
        <v>32</v>
      </c>
      <c r="B4" s="8" t="n">
        <v>1036.56</v>
      </c>
    </row>
    <row r="5" customFormat="false" ht="15" hidden="false" customHeight="false" outlineLevel="0" collapsed="false">
      <c r="A5" s="9" t="s">
        <v>33</v>
      </c>
      <c r="B5" s="8" t="n">
        <v>1200</v>
      </c>
    </row>
    <row r="6" customFormat="false" ht="15" hidden="false" customHeight="false" outlineLevel="0" collapsed="false">
      <c r="A6" s="9" t="s">
        <v>34</v>
      </c>
      <c r="B6" s="8" t="n">
        <v>600</v>
      </c>
    </row>
    <row r="7" customFormat="false" ht="15" hidden="false" customHeight="false" outlineLevel="0" collapsed="false">
      <c r="A7" s="9" t="s">
        <v>35</v>
      </c>
      <c r="B7" s="10" t="n">
        <v>3.22</v>
      </c>
    </row>
    <row r="8" customFormat="false" ht="15" hidden="false" customHeight="false" outlineLevel="0" collapsed="false">
      <c r="A8" s="9" t="s">
        <v>36</v>
      </c>
      <c r="B8" s="10" t="n">
        <v>4.33</v>
      </c>
    </row>
    <row r="9" customFormat="false" ht="15" hidden="false" customHeight="false" outlineLevel="0" collapsed="false">
      <c r="A9" s="9" t="s">
        <v>37</v>
      </c>
      <c r="B9" s="9" t="n">
        <f aca="false">2*(B7+B8)</f>
        <v>15.1</v>
      </c>
    </row>
    <row r="10" customFormat="false" ht="15" hidden="false" customHeight="false" outlineLevel="0" collapsed="false">
      <c r="A10" s="9" t="s">
        <v>38</v>
      </c>
      <c r="B10" s="11" t="n">
        <f aca="false">B4/B9</f>
        <v>68.646357615894</v>
      </c>
    </row>
    <row r="11" customFormat="false" ht="15" hidden="false" customHeight="false" outlineLevel="0" collapsed="false">
      <c r="A11" s="9" t="s">
        <v>39</v>
      </c>
      <c r="B11" s="11" t="n">
        <f aca="false">B5/B9</f>
        <v>79.4701986754967</v>
      </c>
    </row>
    <row r="12" customFormat="false" ht="15" hidden="false" customHeight="false" outlineLevel="0" collapsed="false">
      <c r="A12" s="9" t="s">
        <v>40</v>
      </c>
      <c r="B12" s="11" t="n">
        <f aca="false">B6/B9</f>
        <v>39.7350993377483</v>
      </c>
    </row>
    <row r="13" customFormat="false" ht="15" hidden="false" customHeight="false" outlineLevel="0" collapsed="false">
      <c r="A13" s="9" t="s">
        <v>41</v>
      </c>
      <c r="B13" s="10" t="n">
        <v>35</v>
      </c>
    </row>
    <row r="14" customFormat="false" ht="15" hidden="false" customHeight="false" outlineLevel="0" collapsed="false">
      <c r="A14" s="9" t="s">
        <v>42</v>
      </c>
      <c r="B14" s="12" t="n">
        <f aca="false">IF(ISNUMBER(B13),B5/B13,"—")</f>
        <v>34.2857142857143</v>
      </c>
    </row>
    <row r="15" customFormat="false" ht="15" hidden="false" customHeight="false" outlineLevel="0" collapsed="false">
      <c r="A15" s="9" t="s">
        <v>43</v>
      </c>
      <c r="B15" s="13" t="n">
        <f aca="false">IF(ISNUMBER(B14),B9/B14-1,"—")</f>
        <v>-0.559583333333333</v>
      </c>
    </row>
    <row r="16" customFormat="false" ht="15" hidden="false" customHeight="false" outlineLevel="0" collapsed="false">
      <c r="A16" s="9" t="s">
        <v>44</v>
      </c>
      <c r="B16" s="14" t="n">
        <f aca="false">(B5-B4)/(B4-B6)</f>
        <v>0.37438152831226</v>
      </c>
    </row>
    <row r="18" customFormat="false" ht="15" hidden="false" customHeight="false" outlineLevel="0" collapsed="false">
      <c r="A18" s="4" t="s">
        <v>45</v>
      </c>
    </row>
    <row r="19" customFormat="false" ht="15" hidden="false" customHeight="false" outlineLevel="0" collapsed="false">
      <c r="A19" s="9" t="s">
        <v>46</v>
      </c>
    </row>
    <row r="21" customFormat="false" ht="15" hidden="false" customHeight="false" outlineLevel="0" collapsed="false">
      <c r="A21" s="4" t="s">
        <v>47</v>
      </c>
    </row>
    <row r="22" customFormat="false" ht="15" hidden="false" customHeight="false" outlineLevel="0" collapsed="false">
      <c r="A22" s="4" t="s">
        <v>48</v>
      </c>
      <c r="B22" s="11" t="n">
        <f aca="false">ROUND(B12,1)</f>
        <v>39.7</v>
      </c>
      <c r="C22" s="11" t="n">
        <f aca="false">ROUND(B10,1)</f>
        <v>68.6</v>
      </c>
      <c r="D22" s="11" t="n">
        <f aca="false">ROUND(B11,1)</f>
        <v>79.5</v>
      </c>
    </row>
    <row r="23" customFormat="false" ht="15" hidden="false" customHeight="false" outlineLevel="0" collapsed="false">
      <c r="A23" s="12" t="n">
        <f aca="false">ROUND($B$9*0.85,2)</f>
        <v>12.84</v>
      </c>
      <c r="B23" s="15" t="n">
        <f aca="false">$A23*B$22</f>
        <v>509.748</v>
      </c>
      <c r="C23" s="15" t="n">
        <f aca="false">$A23*C$22</f>
        <v>880.824</v>
      </c>
      <c r="D23" s="15" t="n">
        <f aca="false">$A23*D$22</f>
        <v>1020.78</v>
      </c>
    </row>
    <row r="24" customFormat="false" ht="15" hidden="false" customHeight="false" outlineLevel="0" collapsed="false">
      <c r="A24" s="12" t="n">
        <f aca="false">ROUND($B$9*1,2)</f>
        <v>15.1</v>
      </c>
      <c r="B24" s="15" t="n">
        <f aca="false">$A24*B$22</f>
        <v>599.47</v>
      </c>
      <c r="C24" s="15" t="n">
        <f aca="false">$A24*C$22</f>
        <v>1035.86</v>
      </c>
      <c r="D24" s="15" t="n">
        <f aca="false">$A24*D$22</f>
        <v>1200.45</v>
      </c>
    </row>
    <row r="25" customFormat="false" ht="15" hidden="false" customHeight="false" outlineLevel="0" collapsed="false">
      <c r="A25" s="12" t="n">
        <f aca="false">ROUND($B$9*1.15,2)</f>
        <v>17.37</v>
      </c>
      <c r="B25" s="15" t="n">
        <f aca="false">$A25*B$22</f>
        <v>689.589</v>
      </c>
      <c r="C25" s="15" t="n">
        <f aca="false">$A25*C$22</f>
        <v>1191.582</v>
      </c>
      <c r="D25" s="15" t="n">
        <f aca="false">$A25*D$22</f>
        <v>1380.915</v>
      </c>
    </row>
    <row r="27" customFormat="false" ht="15" hidden="false" customHeight="false" outlineLevel="0" collapsed="false">
      <c r="A27" s="4" t="s">
        <v>49</v>
      </c>
    </row>
    <row r="28" customFormat="false" ht="15" hidden="false" customHeight="true" outlineLevel="0" collapsed="false">
      <c r="A28" s="16" t="s">
        <v>50</v>
      </c>
      <c r="B28" s="16"/>
      <c r="C28" s="16"/>
      <c r="D28" s="16"/>
      <c r="E28" s="16"/>
      <c r="F28" s="16"/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6"/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6"/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16"/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6"/>
    </row>
  </sheetData>
  <mergeCells count="1">
    <mergeCell ref="A28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3"/>
  </cols>
  <sheetData>
    <row r="1" customFormat="false" ht="16.15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4" t="s">
        <v>32</v>
      </c>
      <c r="B4" s="8" t="n">
        <v>242.26</v>
      </c>
    </row>
    <row r="5" customFormat="false" ht="15" hidden="false" customHeight="false" outlineLevel="0" collapsed="false">
      <c r="A5" s="9" t="s">
        <v>33</v>
      </c>
      <c r="B5" s="8" t="n">
        <v>385</v>
      </c>
    </row>
    <row r="6" customFormat="false" ht="15" hidden="false" customHeight="false" outlineLevel="0" collapsed="false">
      <c r="A6" s="9" t="s">
        <v>34</v>
      </c>
      <c r="B6" s="8" t="n">
        <v>220</v>
      </c>
    </row>
    <row r="7" customFormat="false" ht="15" hidden="false" customHeight="false" outlineLevel="0" collapsed="false">
      <c r="A7" s="9" t="s">
        <v>52</v>
      </c>
      <c r="B7" s="10" t="n">
        <v>2.37</v>
      </c>
    </row>
    <row r="8" customFormat="false" ht="15" hidden="false" customHeight="false" outlineLevel="0" collapsed="false">
      <c r="A8" s="9" t="s">
        <v>36</v>
      </c>
      <c r="B8" s="10" t="n">
        <v>3.84</v>
      </c>
    </row>
    <row r="9" customFormat="false" ht="15" hidden="false" customHeight="false" outlineLevel="0" collapsed="false">
      <c r="A9" s="9" t="s">
        <v>37</v>
      </c>
      <c r="B9" s="9" t="n">
        <f aca="false">2*(B7+B8)</f>
        <v>12.42</v>
      </c>
    </row>
    <row r="10" customFormat="false" ht="15" hidden="false" customHeight="false" outlineLevel="0" collapsed="false">
      <c r="A10" s="9" t="s">
        <v>38</v>
      </c>
      <c r="B10" s="11" t="n">
        <f aca="false">B4/B9</f>
        <v>19.5056360708535</v>
      </c>
    </row>
    <row r="11" customFormat="false" ht="15" hidden="false" customHeight="false" outlineLevel="0" collapsed="false">
      <c r="A11" s="9" t="s">
        <v>39</v>
      </c>
      <c r="B11" s="11" t="n">
        <f aca="false">B5/B9</f>
        <v>30.9983896940419</v>
      </c>
    </row>
    <row r="12" customFormat="false" ht="15" hidden="false" customHeight="false" outlineLevel="0" collapsed="false">
      <c r="A12" s="9" t="s">
        <v>40</v>
      </c>
      <c r="B12" s="11" t="n">
        <f aca="false">B6/B9</f>
        <v>17.7133655394525</v>
      </c>
    </row>
    <row r="13" customFormat="false" ht="15" hidden="false" customHeight="false" outlineLevel="0" collapsed="false">
      <c r="A13" s="9" t="s">
        <v>41</v>
      </c>
      <c r="B13" s="10" t="s">
        <v>53</v>
      </c>
    </row>
    <row r="14" customFormat="false" ht="15" hidden="false" customHeight="false" outlineLevel="0" collapsed="false">
      <c r="A14" s="9" t="s">
        <v>42</v>
      </c>
      <c r="B14" s="9" t="str">
        <f aca="false">IF(ISNUMBER(B13),B5/B13,"—")</f>
        <v>—</v>
      </c>
    </row>
    <row r="15" customFormat="false" ht="15" hidden="false" customHeight="false" outlineLevel="0" collapsed="false">
      <c r="A15" s="9" t="s">
        <v>43</v>
      </c>
      <c r="B15" s="13" t="str">
        <f aca="false">IF(ISNUMBER(B14),B9/B14-1,"—")</f>
        <v>—</v>
      </c>
    </row>
    <row r="16" customFormat="false" ht="15" hidden="false" customHeight="false" outlineLevel="0" collapsed="false">
      <c r="A16" s="9" t="s">
        <v>44</v>
      </c>
      <c r="B16" s="14" t="n">
        <f aca="false">(B5-B4)/(B4-B6)</f>
        <v>6.41239892183289</v>
      </c>
    </row>
    <row r="18" customFormat="false" ht="15" hidden="false" customHeight="false" outlineLevel="0" collapsed="false">
      <c r="A18" s="4" t="s">
        <v>45</v>
      </c>
    </row>
    <row r="19" customFormat="false" ht="15" hidden="false" customHeight="false" outlineLevel="0" collapsed="false">
      <c r="A19" s="9" t="s">
        <v>54</v>
      </c>
    </row>
    <row r="21" customFormat="false" ht="15" hidden="false" customHeight="false" outlineLevel="0" collapsed="false">
      <c r="A21" s="4" t="s">
        <v>47</v>
      </c>
    </row>
    <row r="22" customFormat="false" ht="15" hidden="false" customHeight="false" outlineLevel="0" collapsed="false">
      <c r="A22" s="4" t="s">
        <v>48</v>
      </c>
      <c r="B22" s="11" t="n">
        <f aca="false">ROUND(B12,1)</f>
        <v>17.7</v>
      </c>
      <c r="C22" s="11" t="n">
        <f aca="false">ROUND(B10,1)</f>
        <v>19.5</v>
      </c>
      <c r="D22" s="11" t="n">
        <f aca="false">ROUND(B11,1)</f>
        <v>31</v>
      </c>
    </row>
    <row r="23" customFormat="false" ht="15" hidden="false" customHeight="false" outlineLevel="0" collapsed="false">
      <c r="A23" s="12" t="n">
        <f aca="false">ROUND($B$9*0.85,2)</f>
        <v>10.56</v>
      </c>
      <c r="B23" s="15" t="n">
        <f aca="false">$A23*B$22</f>
        <v>186.912</v>
      </c>
      <c r="C23" s="15" t="n">
        <f aca="false">$A23*C$22</f>
        <v>205.92</v>
      </c>
      <c r="D23" s="15" t="n">
        <f aca="false">$A23*D$22</f>
        <v>327.36</v>
      </c>
    </row>
    <row r="24" customFormat="false" ht="15" hidden="false" customHeight="false" outlineLevel="0" collapsed="false">
      <c r="A24" s="12" t="n">
        <f aca="false">ROUND($B$9*1,2)</f>
        <v>12.42</v>
      </c>
      <c r="B24" s="15" t="n">
        <f aca="false">$A24*B$22</f>
        <v>219.834</v>
      </c>
      <c r="C24" s="15" t="n">
        <f aca="false">$A24*C$22</f>
        <v>242.19</v>
      </c>
      <c r="D24" s="15" t="n">
        <f aca="false">$A24*D$22</f>
        <v>385.02</v>
      </c>
    </row>
    <row r="25" customFormat="false" ht="15" hidden="false" customHeight="false" outlineLevel="0" collapsed="false">
      <c r="A25" s="12" t="n">
        <f aca="false">ROUND($B$9*1.15,2)</f>
        <v>14.28</v>
      </c>
      <c r="B25" s="15" t="n">
        <f aca="false">$A25*B$22</f>
        <v>252.756</v>
      </c>
      <c r="C25" s="15" t="n">
        <f aca="false">$A25*C$22</f>
        <v>278.46</v>
      </c>
      <c r="D25" s="15" t="n">
        <f aca="false">$A25*D$22</f>
        <v>442.68</v>
      </c>
    </row>
    <row r="27" customFormat="false" ht="15" hidden="false" customHeight="false" outlineLevel="0" collapsed="false">
      <c r="A27" s="4" t="s">
        <v>49</v>
      </c>
    </row>
    <row r="28" customFormat="false" ht="15" hidden="false" customHeight="true" outlineLevel="0" collapsed="false">
      <c r="A28" s="16" t="s">
        <v>55</v>
      </c>
      <c r="B28" s="16"/>
      <c r="C28" s="16"/>
      <c r="D28" s="16"/>
      <c r="E28" s="16"/>
      <c r="F28" s="16"/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6"/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6"/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16"/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6"/>
    </row>
  </sheetData>
  <mergeCells count="1">
    <mergeCell ref="A28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3"/>
  </cols>
  <sheetData>
    <row r="1" customFormat="false" ht="16.15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4" t="s">
        <v>32</v>
      </c>
      <c r="B4" s="8" t="n">
        <v>138.04</v>
      </c>
    </row>
    <row r="5" customFormat="false" ht="15" hidden="false" customHeight="false" outlineLevel="0" collapsed="false">
      <c r="A5" s="9" t="s">
        <v>33</v>
      </c>
      <c r="B5" s="8" t="n">
        <v>185</v>
      </c>
    </row>
    <row r="6" customFormat="false" ht="15" hidden="false" customHeight="false" outlineLevel="0" collapsed="false">
      <c r="A6" s="9" t="s">
        <v>34</v>
      </c>
      <c r="B6" s="8" t="n">
        <v>110</v>
      </c>
    </row>
    <row r="7" customFormat="false" ht="15" hidden="false" customHeight="false" outlineLevel="0" collapsed="false">
      <c r="A7" s="9" t="s">
        <v>57</v>
      </c>
      <c r="B7" s="10" t="n">
        <v>1.75</v>
      </c>
    </row>
    <row r="8" customFormat="false" ht="15" hidden="false" customHeight="false" outlineLevel="0" collapsed="false">
      <c r="A8" s="9" t="s">
        <v>36</v>
      </c>
      <c r="B8" s="10" t="n">
        <v>3.24</v>
      </c>
    </row>
    <row r="9" customFormat="false" ht="15" hidden="false" customHeight="false" outlineLevel="0" collapsed="false">
      <c r="A9" s="9" t="s">
        <v>37</v>
      </c>
      <c r="B9" s="9" t="n">
        <f aca="false">2*(B7+B8)</f>
        <v>9.98</v>
      </c>
    </row>
    <row r="10" customFormat="false" ht="15" hidden="false" customHeight="false" outlineLevel="0" collapsed="false">
      <c r="A10" s="9" t="s">
        <v>38</v>
      </c>
      <c r="B10" s="11" t="n">
        <f aca="false">B4/B9</f>
        <v>13.8316633266533</v>
      </c>
    </row>
    <row r="11" customFormat="false" ht="15" hidden="false" customHeight="false" outlineLevel="0" collapsed="false">
      <c r="A11" s="9" t="s">
        <v>39</v>
      </c>
      <c r="B11" s="11" t="n">
        <f aca="false">B5/B9</f>
        <v>18.5370741482966</v>
      </c>
    </row>
    <row r="12" customFormat="false" ht="15" hidden="false" customHeight="false" outlineLevel="0" collapsed="false">
      <c r="A12" s="9" t="s">
        <v>40</v>
      </c>
      <c r="B12" s="11" t="n">
        <f aca="false">B6/B9</f>
        <v>11.0220440881764</v>
      </c>
    </row>
    <row r="13" customFormat="false" ht="15" hidden="false" customHeight="false" outlineLevel="0" collapsed="false">
      <c r="A13" s="9" t="s">
        <v>41</v>
      </c>
      <c r="B13" s="10" t="s">
        <v>53</v>
      </c>
    </row>
    <row r="14" customFormat="false" ht="15" hidden="false" customHeight="false" outlineLevel="0" collapsed="false">
      <c r="A14" s="9" t="s">
        <v>42</v>
      </c>
      <c r="B14" s="9" t="str">
        <f aca="false">IF(ISNUMBER(B13),B5/B13,"—")</f>
        <v>—</v>
      </c>
    </row>
    <row r="15" customFormat="false" ht="15" hidden="false" customHeight="false" outlineLevel="0" collapsed="false">
      <c r="A15" s="9" t="s">
        <v>43</v>
      </c>
      <c r="B15" s="13" t="str">
        <f aca="false">IF(ISNUMBER(B14),B9/B14-1,"—")</f>
        <v>—</v>
      </c>
    </row>
    <row r="16" customFormat="false" ht="15" hidden="false" customHeight="false" outlineLevel="0" collapsed="false">
      <c r="A16" s="9" t="s">
        <v>44</v>
      </c>
      <c r="B16" s="14" t="n">
        <f aca="false">(B5-B4)/(B4-B6)</f>
        <v>1.67475035663338</v>
      </c>
    </row>
    <row r="18" customFormat="false" ht="15" hidden="false" customHeight="false" outlineLevel="0" collapsed="false">
      <c r="A18" s="4" t="s">
        <v>45</v>
      </c>
    </row>
    <row r="19" customFormat="false" ht="15" hidden="false" customHeight="false" outlineLevel="0" collapsed="false">
      <c r="A19" s="9" t="s">
        <v>58</v>
      </c>
    </row>
    <row r="21" customFormat="false" ht="15" hidden="false" customHeight="false" outlineLevel="0" collapsed="false">
      <c r="A21" s="4" t="s">
        <v>47</v>
      </c>
    </row>
    <row r="22" customFormat="false" ht="15" hidden="false" customHeight="false" outlineLevel="0" collapsed="false">
      <c r="A22" s="4" t="s">
        <v>48</v>
      </c>
      <c r="B22" s="11" t="n">
        <f aca="false">ROUND(B12,1)</f>
        <v>11</v>
      </c>
      <c r="C22" s="11" t="n">
        <f aca="false">ROUND(B10,1)</f>
        <v>13.8</v>
      </c>
      <c r="D22" s="11" t="n">
        <f aca="false">ROUND(B11,1)</f>
        <v>18.5</v>
      </c>
    </row>
    <row r="23" customFormat="false" ht="15" hidden="false" customHeight="false" outlineLevel="0" collapsed="false">
      <c r="A23" s="12" t="n">
        <f aca="false">ROUND($B$9*0.85,2)</f>
        <v>8.48</v>
      </c>
      <c r="B23" s="15" t="n">
        <f aca="false">$A23*B$22</f>
        <v>93.28</v>
      </c>
      <c r="C23" s="15" t="n">
        <f aca="false">$A23*C$22</f>
        <v>117.024</v>
      </c>
      <c r="D23" s="15" t="n">
        <f aca="false">$A23*D$22</f>
        <v>156.88</v>
      </c>
    </row>
    <row r="24" customFormat="false" ht="15" hidden="false" customHeight="false" outlineLevel="0" collapsed="false">
      <c r="A24" s="12" t="n">
        <f aca="false">ROUND($B$9*1,2)</f>
        <v>9.98</v>
      </c>
      <c r="B24" s="15" t="n">
        <f aca="false">$A24*B$22</f>
        <v>109.78</v>
      </c>
      <c r="C24" s="15" t="n">
        <f aca="false">$A24*C$22</f>
        <v>137.724</v>
      </c>
      <c r="D24" s="15" t="n">
        <f aca="false">$A24*D$22</f>
        <v>184.63</v>
      </c>
    </row>
    <row r="25" customFormat="false" ht="15" hidden="false" customHeight="false" outlineLevel="0" collapsed="false">
      <c r="A25" s="12" t="n">
        <f aca="false">ROUND($B$9*1.15,2)</f>
        <v>11.48</v>
      </c>
      <c r="B25" s="15" t="n">
        <f aca="false">$A25*B$22</f>
        <v>126.28</v>
      </c>
      <c r="C25" s="15" t="n">
        <f aca="false">$A25*C$22</f>
        <v>158.424</v>
      </c>
      <c r="D25" s="15" t="n">
        <f aca="false">$A25*D$22</f>
        <v>212.38</v>
      </c>
    </row>
    <row r="27" customFormat="false" ht="15" hidden="false" customHeight="false" outlineLevel="0" collapsed="false">
      <c r="A27" s="4" t="s">
        <v>49</v>
      </c>
    </row>
    <row r="28" customFormat="false" ht="15" hidden="false" customHeight="true" outlineLevel="0" collapsed="false">
      <c r="A28" s="16" t="s">
        <v>59</v>
      </c>
      <c r="B28" s="16"/>
      <c r="C28" s="16"/>
      <c r="D28" s="16"/>
      <c r="E28" s="16"/>
      <c r="F28" s="16"/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6"/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6"/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16"/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6"/>
    </row>
  </sheetData>
  <mergeCells count="1">
    <mergeCell ref="A28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3"/>
  </cols>
  <sheetData>
    <row r="1" customFormat="false" ht="16.15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4" t="s">
        <v>32</v>
      </c>
      <c r="B4" s="8" t="n">
        <v>154.73</v>
      </c>
    </row>
    <row r="5" customFormat="false" ht="15" hidden="false" customHeight="false" outlineLevel="0" collapsed="false">
      <c r="A5" s="9" t="s">
        <v>33</v>
      </c>
      <c r="B5" s="8" t="n">
        <v>230</v>
      </c>
    </row>
    <row r="6" customFormat="false" ht="15" hidden="false" customHeight="false" outlineLevel="0" collapsed="false">
      <c r="A6" s="9" t="s">
        <v>34</v>
      </c>
      <c r="B6" s="8" t="n">
        <v>145</v>
      </c>
    </row>
    <row r="7" customFormat="false" ht="15" hidden="false" customHeight="false" outlineLevel="0" collapsed="false">
      <c r="A7" s="9" t="s">
        <v>61</v>
      </c>
      <c r="B7" s="10" t="n">
        <v>2.21</v>
      </c>
    </row>
    <row r="8" customFormat="false" ht="15" hidden="false" customHeight="false" outlineLevel="0" collapsed="false">
      <c r="A8" s="9" t="s">
        <v>36</v>
      </c>
      <c r="B8" s="10" t="n">
        <v>2.37</v>
      </c>
    </row>
    <row r="9" customFormat="false" ht="15" hidden="false" customHeight="false" outlineLevel="0" collapsed="false">
      <c r="A9" s="9" t="s">
        <v>37</v>
      </c>
      <c r="B9" s="9" t="n">
        <f aca="false">2*(B7+B8)</f>
        <v>9.16</v>
      </c>
    </row>
    <row r="10" customFormat="false" ht="15" hidden="false" customHeight="false" outlineLevel="0" collapsed="false">
      <c r="A10" s="9" t="s">
        <v>38</v>
      </c>
      <c r="B10" s="11" t="n">
        <f aca="false">B4/B9</f>
        <v>16.8919213973799</v>
      </c>
    </row>
    <row r="11" customFormat="false" ht="15" hidden="false" customHeight="false" outlineLevel="0" collapsed="false">
      <c r="A11" s="9" t="s">
        <v>39</v>
      </c>
      <c r="B11" s="11" t="n">
        <f aca="false">B5/B9</f>
        <v>25.1091703056769</v>
      </c>
    </row>
    <row r="12" customFormat="false" ht="15" hidden="false" customHeight="false" outlineLevel="0" collapsed="false">
      <c r="A12" s="9" t="s">
        <v>40</v>
      </c>
      <c r="B12" s="11" t="n">
        <f aca="false">B6/B9</f>
        <v>15.8296943231441</v>
      </c>
    </row>
    <row r="13" customFormat="false" ht="15" hidden="false" customHeight="false" outlineLevel="0" collapsed="false">
      <c r="A13" s="9" t="s">
        <v>41</v>
      </c>
      <c r="B13" s="10" t="s">
        <v>53</v>
      </c>
    </row>
    <row r="14" customFormat="false" ht="15" hidden="false" customHeight="false" outlineLevel="0" collapsed="false">
      <c r="A14" s="9" t="s">
        <v>42</v>
      </c>
      <c r="B14" s="9" t="str">
        <f aca="false">IF(ISNUMBER(B13),B5/B13,"—")</f>
        <v>—</v>
      </c>
    </row>
    <row r="15" customFormat="false" ht="15" hidden="false" customHeight="false" outlineLevel="0" collapsed="false">
      <c r="A15" s="9" t="s">
        <v>43</v>
      </c>
      <c r="B15" s="13" t="str">
        <f aca="false">IF(ISNUMBER(B14),B9/B14-1,"—")</f>
        <v>—</v>
      </c>
    </row>
    <row r="16" customFormat="false" ht="15" hidden="false" customHeight="false" outlineLevel="0" collapsed="false">
      <c r="A16" s="9" t="s">
        <v>44</v>
      </c>
      <c r="B16" s="14" t="n">
        <f aca="false">(B5-B4)/(B4-B6)</f>
        <v>7.73586844809867</v>
      </c>
    </row>
    <row r="18" customFormat="false" ht="15" hidden="false" customHeight="false" outlineLevel="0" collapsed="false">
      <c r="A18" s="4" t="s">
        <v>45</v>
      </c>
    </row>
    <row r="19" customFormat="false" ht="15" hidden="false" customHeight="false" outlineLevel="0" collapsed="false">
      <c r="A19" s="9" t="s">
        <v>62</v>
      </c>
    </row>
    <row r="21" customFormat="false" ht="15" hidden="false" customHeight="false" outlineLevel="0" collapsed="false">
      <c r="A21" s="4" t="s">
        <v>47</v>
      </c>
    </row>
    <row r="22" customFormat="false" ht="15" hidden="false" customHeight="false" outlineLevel="0" collapsed="false">
      <c r="A22" s="4" t="s">
        <v>48</v>
      </c>
      <c r="B22" s="11" t="n">
        <f aca="false">ROUND(B12,1)</f>
        <v>15.8</v>
      </c>
      <c r="C22" s="11" t="n">
        <f aca="false">ROUND(B10,1)</f>
        <v>16.9</v>
      </c>
      <c r="D22" s="11" t="n">
        <f aca="false">ROUND(B11,1)</f>
        <v>25.1</v>
      </c>
    </row>
    <row r="23" customFormat="false" ht="15" hidden="false" customHeight="false" outlineLevel="0" collapsed="false">
      <c r="A23" s="12" t="n">
        <f aca="false">ROUND($B$9*0.85,2)</f>
        <v>7.79</v>
      </c>
      <c r="B23" s="15" t="n">
        <f aca="false">$A23*B$22</f>
        <v>123.082</v>
      </c>
      <c r="C23" s="15" t="n">
        <f aca="false">$A23*C$22</f>
        <v>131.651</v>
      </c>
      <c r="D23" s="15" t="n">
        <f aca="false">$A23*D$22</f>
        <v>195.529</v>
      </c>
    </row>
    <row r="24" customFormat="false" ht="15" hidden="false" customHeight="false" outlineLevel="0" collapsed="false">
      <c r="A24" s="12" t="n">
        <f aca="false">ROUND($B$9*1,2)</f>
        <v>9.16</v>
      </c>
      <c r="B24" s="15" t="n">
        <f aca="false">$A24*B$22</f>
        <v>144.728</v>
      </c>
      <c r="C24" s="15" t="n">
        <f aca="false">$A24*C$22</f>
        <v>154.804</v>
      </c>
      <c r="D24" s="15" t="n">
        <f aca="false">$A24*D$22</f>
        <v>229.916</v>
      </c>
    </row>
    <row r="25" customFormat="false" ht="15" hidden="false" customHeight="false" outlineLevel="0" collapsed="false">
      <c r="A25" s="12" t="n">
        <f aca="false">ROUND($B$9*1.15,2)</f>
        <v>10.53</v>
      </c>
      <c r="B25" s="15" t="n">
        <f aca="false">$A25*B$22</f>
        <v>166.374</v>
      </c>
      <c r="C25" s="15" t="n">
        <f aca="false">$A25*C$22</f>
        <v>177.957</v>
      </c>
      <c r="D25" s="15" t="n">
        <f aca="false">$A25*D$22</f>
        <v>264.303</v>
      </c>
    </row>
    <row r="27" customFormat="false" ht="15" hidden="false" customHeight="false" outlineLevel="0" collapsed="false">
      <c r="A27" s="4" t="s">
        <v>49</v>
      </c>
    </row>
    <row r="28" customFormat="false" ht="15" hidden="false" customHeight="true" outlineLevel="0" collapsed="false">
      <c r="A28" s="16" t="s">
        <v>63</v>
      </c>
      <c r="B28" s="16"/>
      <c r="C28" s="16"/>
      <c r="D28" s="16"/>
      <c r="E28" s="16"/>
      <c r="F28" s="16"/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6"/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6"/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16"/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6"/>
    </row>
  </sheetData>
  <mergeCells count="1">
    <mergeCell ref="A28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3"/>
  </cols>
  <sheetData>
    <row r="1" customFormat="false" ht="16.1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4" t="s">
        <v>32</v>
      </c>
      <c r="B4" s="8" t="n">
        <v>921</v>
      </c>
    </row>
    <row r="5" customFormat="false" ht="15" hidden="false" customHeight="false" outlineLevel="0" collapsed="false">
      <c r="A5" s="9" t="s">
        <v>33</v>
      </c>
      <c r="B5" s="8" t="n">
        <v>1500</v>
      </c>
    </row>
    <row r="6" customFormat="false" ht="15" hidden="false" customHeight="false" outlineLevel="0" collapsed="false">
      <c r="A6" s="9" t="s">
        <v>34</v>
      </c>
      <c r="B6" s="8" t="n">
        <v>900</v>
      </c>
    </row>
    <row r="7" customFormat="false" ht="15" hidden="false" customHeight="false" outlineLevel="0" collapsed="false">
      <c r="A7" s="9" t="s">
        <v>65</v>
      </c>
      <c r="B7" s="10" t="n">
        <v>31.24</v>
      </c>
    </row>
    <row r="8" customFormat="false" ht="15" hidden="false" customHeight="false" outlineLevel="0" collapsed="false">
      <c r="A8" s="9" t="s">
        <v>66</v>
      </c>
      <c r="B8" s="10" t="n">
        <v>34.66</v>
      </c>
    </row>
    <row r="9" customFormat="false" ht="15" hidden="false" customHeight="false" outlineLevel="0" collapsed="false">
      <c r="A9" s="9" t="s">
        <v>37</v>
      </c>
      <c r="B9" s="9" t="n">
        <f aca="false">2*(B7+B8)</f>
        <v>131.8</v>
      </c>
    </row>
    <row r="10" customFormat="false" ht="15" hidden="false" customHeight="false" outlineLevel="0" collapsed="false">
      <c r="A10" s="9" t="s">
        <v>38</v>
      </c>
      <c r="B10" s="11" t="n">
        <f aca="false">B4/B9</f>
        <v>6.98786039453718</v>
      </c>
    </row>
    <row r="11" customFormat="false" ht="15" hidden="false" customHeight="false" outlineLevel="0" collapsed="false">
      <c r="A11" s="9" t="s">
        <v>39</v>
      </c>
      <c r="B11" s="11" t="n">
        <f aca="false">B5/B9</f>
        <v>11.3808801213961</v>
      </c>
    </row>
    <row r="12" customFormat="false" ht="15" hidden="false" customHeight="false" outlineLevel="0" collapsed="false">
      <c r="A12" s="9" t="s">
        <v>40</v>
      </c>
      <c r="B12" s="11" t="n">
        <f aca="false">B6/B9</f>
        <v>6.82852807283763</v>
      </c>
    </row>
    <row r="13" customFormat="false" ht="15" hidden="false" customHeight="false" outlineLevel="0" collapsed="false">
      <c r="A13" s="9" t="s">
        <v>41</v>
      </c>
      <c r="B13" s="10" t="n">
        <v>12.5</v>
      </c>
    </row>
    <row r="14" customFormat="false" ht="15" hidden="false" customHeight="false" outlineLevel="0" collapsed="false">
      <c r="A14" s="9" t="s">
        <v>42</v>
      </c>
      <c r="B14" s="12" t="n">
        <f aca="false">IF(ISNUMBER(B13),B5/B13,"—")</f>
        <v>120</v>
      </c>
    </row>
    <row r="15" customFormat="false" ht="15" hidden="false" customHeight="false" outlineLevel="0" collapsed="false">
      <c r="A15" s="9" t="s">
        <v>43</v>
      </c>
      <c r="B15" s="13" t="n">
        <f aca="false">IF(ISNUMBER(B14),B9/B14-1,"—")</f>
        <v>0.0983333333333332</v>
      </c>
    </row>
    <row r="16" customFormat="false" ht="15" hidden="false" customHeight="false" outlineLevel="0" collapsed="false">
      <c r="A16" s="9" t="s">
        <v>44</v>
      </c>
      <c r="B16" s="14" t="n">
        <f aca="false">(B5-B4)/(B4-B6)</f>
        <v>27.5714285714286</v>
      </c>
    </row>
    <row r="18" customFormat="false" ht="15" hidden="false" customHeight="false" outlineLevel="0" collapsed="false">
      <c r="A18" s="4" t="s">
        <v>45</v>
      </c>
    </row>
    <row r="19" customFormat="false" ht="15" hidden="false" customHeight="false" outlineLevel="0" collapsed="false">
      <c r="A19" s="9" t="s">
        <v>67</v>
      </c>
    </row>
    <row r="21" customFormat="false" ht="15" hidden="false" customHeight="false" outlineLevel="0" collapsed="false">
      <c r="A21" s="4" t="s">
        <v>47</v>
      </c>
    </row>
    <row r="22" customFormat="false" ht="15" hidden="false" customHeight="false" outlineLevel="0" collapsed="false">
      <c r="A22" s="4" t="s">
        <v>48</v>
      </c>
      <c r="B22" s="11" t="n">
        <f aca="false">ROUND(B12,1)</f>
        <v>6.8</v>
      </c>
      <c r="C22" s="11" t="n">
        <f aca="false">ROUND(B10,1)</f>
        <v>7</v>
      </c>
      <c r="D22" s="11" t="n">
        <f aca="false">ROUND(B11,1)</f>
        <v>11.4</v>
      </c>
    </row>
    <row r="23" customFormat="false" ht="15" hidden="false" customHeight="false" outlineLevel="0" collapsed="false">
      <c r="A23" s="12" t="n">
        <f aca="false">ROUND($B$9*0.85,2)</f>
        <v>112.03</v>
      </c>
      <c r="B23" s="15" t="n">
        <f aca="false">$A23*B$22</f>
        <v>761.804</v>
      </c>
      <c r="C23" s="15" t="n">
        <f aca="false">$A23*C$22</f>
        <v>784.21</v>
      </c>
      <c r="D23" s="15" t="n">
        <f aca="false">$A23*D$22</f>
        <v>1277.142</v>
      </c>
    </row>
    <row r="24" customFormat="false" ht="15" hidden="false" customHeight="false" outlineLevel="0" collapsed="false">
      <c r="A24" s="12" t="n">
        <f aca="false">ROUND($B$9*1,2)</f>
        <v>131.8</v>
      </c>
      <c r="B24" s="15" t="n">
        <f aca="false">$A24*B$22</f>
        <v>896.24</v>
      </c>
      <c r="C24" s="15" t="n">
        <f aca="false">$A24*C$22</f>
        <v>922.6</v>
      </c>
      <c r="D24" s="15" t="n">
        <f aca="false">$A24*D$22</f>
        <v>1502.52</v>
      </c>
    </row>
    <row r="25" customFormat="false" ht="15" hidden="false" customHeight="false" outlineLevel="0" collapsed="false">
      <c r="A25" s="12" t="n">
        <f aca="false">ROUND($B$9*1.15,2)</f>
        <v>151.57</v>
      </c>
      <c r="B25" s="15" t="n">
        <f aca="false">$A25*B$22</f>
        <v>1030.676</v>
      </c>
      <c r="C25" s="15" t="n">
        <f aca="false">$A25*C$22</f>
        <v>1060.99</v>
      </c>
      <c r="D25" s="15" t="n">
        <f aca="false">$A25*D$22</f>
        <v>1727.898</v>
      </c>
    </row>
    <row r="27" customFormat="false" ht="15" hidden="false" customHeight="false" outlineLevel="0" collapsed="false">
      <c r="A27" s="4" t="s">
        <v>49</v>
      </c>
    </row>
    <row r="28" customFormat="false" ht="15" hidden="false" customHeight="true" outlineLevel="0" collapsed="false">
      <c r="A28" s="16" t="s">
        <v>68</v>
      </c>
      <c r="B28" s="16"/>
      <c r="C28" s="16"/>
      <c r="D28" s="16"/>
      <c r="E28" s="16"/>
      <c r="F28" s="16"/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6"/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6"/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16"/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6"/>
    </row>
  </sheetData>
  <mergeCells count="1">
    <mergeCell ref="A28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3"/>
  </cols>
  <sheetData>
    <row r="1" customFormat="false" ht="16.15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4" t="s">
        <v>32</v>
      </c>
      <c r="B4" s="8" t="n">
        <v>364.49</v>
      </c>
    </row>
    <row r="5" customFormat="false" ht="15" hidden="false" customHeight="false" outlineLevel="0" collapsed="false">
      <c r="A5" s="9" t="s">
        <v>33</v>
      </c>
      <c r="B5" s="8" t="n">
        <v>560</v>
      </c>
    </row>
    <row r="6" customFormat="false" ht="15" hidden="false" customHeight="false" outlineLevel="0" collapsed="false">
      <c r="A6" s="9" t="s">
        <v>34</v>
      </c>
      <c r="B6" s="8" t="n">
        <v>350</v>
      </c>
    </row>
    <row r="7" customFormat="false" ht="15" hidden="false" customHeight="false" outlineLevel="0" collapsed="false">
      <c r="A7" s="9" t="s">
        <v>70</v>
      </c>
      <c r="B7" s="10" t="n">
        <v>3.16</v>
      </c>
    </row>
    <row r="8" customFormat="false" ht="15" hidden="false" customHeight="false" outlineLevel="0" collapsed="false">
      <c r="A8" s="9" t="s">
        <v>71</v>
      </c>
      <c r="B8" s="10" t="n">
        <v>3.79</v>
      </c>
    </row>
    <row r="9" customFormat="false" ht="15" hidden="false" customHeight="false" outlineLevel="0" collapsed="false">
      <c r="A9" s="9" t="s">
        <v>37</v>
      </c>
      <c r="B9" s="9" t="n">
        <f aca="false">2*(B7+B8)</f>
        <v>13.9</v>
      </c>
    </row>
    <row r="10" customFormat="false" ht="15" hidden="false" customHeight="false" outlineLevel="0" collapsed="false">
      <c r="A10" s="9" t="s">
        <v>38</v>
      </c>
      <c r="B10" s="11" t="n">
        <f aca="false">B4/B9</f>
        <v>26.2223021582734</v>
      </c>
    </row>
    <row r="11" customFormat="false" ht="15" hidden="false" customHeight="false" outlineLevel="0" collapsed="false">
      <c r="A11" s="9" t="s">
        <v>39</v>
      </c>
      <c r="B11" s="11" t="n">
        <f aca="false">B5/B9</f>
        <v>40.2877697841727</v>
      </c>
    </row>
    <row r="12" customFormat="false" ht="15" hidden="false" customHeight="false" outlineLevel="0" collapsed="false">
      <c r="A12" s="9" t="s">
        <v>40</v>
      </c>
      <c r="B12" s="11" t="n">
        <f aca="false">B6/B9</f>
        <v>25.1798561151079</v>
      </c>
    </row>
    <row r="13" customFormat="false" ht="15" hidden="false" customHeight="false" outlineLevel="0" collapsed="false">
      <c r="A13" s="9" t="s">
        <v>41</v>
      </c>
      <c r="B13" s="10" t="s">
        <v>53</v>
      </c>
    </row>
    <row r="14" customFormat="false" ht="15" hidden="false" customHeight="false" outlineLevel="0" collapsed="false">
      <c r="A14" s="9" t="s">
        <v>42</v>
      </c>
      <c r="B14" s="9" t="str">
        <f aca="false">IF(ISNUMBER(B13),B5/B13,"—")</f>
        <v>—</v>
      </c>
    </row>
    <row r="15" customFormat="false" ht="15" hidden="false" customHeight="false" outlineLevel="0" collapsed="false">
      <c r="A15" s="9" t="s">
        <v>43</v>
      </c>
      <c r="B15" s="13" t="str">
        <f aca="false">IF(ISNUMBER(B14),B9/B14-1,"—")</f>
        <v>—</v>
      </c>
    </row>
    <row r="16" customFormat="false" ht="15" hidden="false" customHeight="false" outlineLevel="0" collapsed="false">
      <c r="A16" s="9" t="s">
        <v>44</v>
      </c>
      <c r="B16" s="14" t="n">
        <f aca="false">(B5-B4)/(B4-B6)</f>
        <v>13.4927536231884</v>
      </c>
    </row>
    <row r="18" customFormat="false" ht="15" hidden="false" customHeight="false" outlineLevel="0" collapsed="false">
      <c r="A18" s="4" t="s">
        <v>45</v>
      </c>
    </row>
    <row r="19" customFormat="false" ht="15" hidden="false" customHeight="false" outlineLevel="0" collapsed="false">
      <c r="A19" s="9" t="s">
        <v>72</v>
      </c>
    </row>
    <row r="21" customFormat="false" ht="15" hidden="false" customHeight="false" outlineLevel="0" collapsed="false">
      <c r="A21" s="4" t="s">
        <v>47</v>
      </c>
    </row>
    <row r="22" customFormat="false" ht="15" hidden="false" customHeight="false" outlineLevel="0" collapsed="false">
      <c r="A22" s="4" t="s">
        <v>48</v>
      </c>
      <c r="B22" s="11" t="n">
        <f aca="false">ROUND(B12,1)</f>
        <v>25.2</v>
      </c>
      <c r="C22" s="11" t="n">
        <f aca="false">ROUND(B10,1)</f>
        <v>26.2</v>
      </c>
      <c r="D22" s="11" t="n">
        <f aca="false">ROUND(B11,1)</f>
        <v>40.3</v>
      </c>
    </row>
    <row r="23" customFormat="false" ht="15" hidden="false" customHeight="false" outlineLevel="0" collapsed="false">
      <c r="A23" s="12" t="n">
        <f aca="false">ROUND($B$9*0.85,2)</f>
        <v>11.82</v>
      </c>
      <c r="B23" s="15" t="n">
        <f aca="false">$A23*B$22</f>
        <v>297.864</v>
      </c>
      <c r="C23" s="15" t="n">
        <f aca="false">$A23*C$22</f>
        <v>309.684</v>
      </c>
      <c r="D23" s="15" t="n">
        <f aca="false">$A23*D$22</f>
        <v>476.346</v>
      </c>
    </row>
    <row r="24" customFormat="false" ht="15" hidden="false" customHeight="false" outlineLevel="0" collapsed="false">
      <c r="A24" s="12" t="n">
        <f aca="false">ROUND($B$9*1,2)</f>
        <v>13.9</v>
      </c>
      <c r="B24" s="15" t="n">
        <f aca="false">$A24*B$22</f>
        <v>350.28</v>
      </c>
      <c r="C24" s="15" t="n">
        <f aca="false">$A24*C$22</f>
        <v>364.18</v>
      </c>
      <c r="D24" s="15" t="n">
        <f aca="false">$A24*D$22</f>
        <v>560.17</v>
      </c>
    </row>
    <row r="25" customFormat="false" ht="15" hidden="false" customHeight="false" outlineLevel="0" collapsed="false">
      <c r="A25" s="12" t="n">
        <f aca="false">ROUND($B$9*1.15,2)</f>
        <v>15.99</v>
      </c>
      <c r="B25" s="15" t="n">
        <f aca="false">$A25*B$22</f>
        <v>402.948</v>
      </c>
      <c r="C25" s="15" t="n">
        <f aca="false">$A25*C$22</f>
        <v>418.938</v>
      </c>
      <c r="D25" s="15" t="n">
        <f aca="false">$A25*D$22</f>
        <v>644.397</v>
      </c>
    </row>
    <row r="27" customFormat="false" ht="15" hidden="false" customHeight="false" outlineLevel="0" collapsed="false">
      <c r="A27" s="4" t="s">
        <v>49</v>
      </c>
    </row>
    <row r="28" customFormat="false" ht="15" hidden="false" customHeight="true" outlineLevel="0" collapsed="false">
      <c r="A28" s="16" t="s">
        <v>73</v>
      </c>
      <c r="B28" s="16"/>
      <c r="C28" s="16"/>
      <c r="D28" s="16"/>
      <c r="E28" s="16"/>
      <c r="F28" s="16"/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6"/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6"/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16"/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6"/>
    </row>
  </sheetData>
  <mergeCells count="1">
    <mergeCell ref="A28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3"/>
  </cols>
  <sheetData>
    <row r="1" customFormat="false" ht="16.15" hidden="false" customHeight="false" outlineLevel="0" collapsed="false">
      <c r="A1" s="1" t="s">
        <v>74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4" t="s">
        <v>32</v>
      </c>
      <c r="B4" s="8" t="n">
        <v>315.68</v>
      </c>
    </row>
    <row r="5" customFormat="false" ht="15" hidden="false" customHeight="false" outlineLevel="0" collapsed="false">
      <c r="A5" s="9" t="s">
        <v>33</v>
      </c>
      <c r="B5" s="8" t="n">
        <v>450</v>
      </c>
    </row>
    <row r="6" customFormat="false" ht="15" hidden="false" customHeight="false" outlineLevel="0" collapsed="false">
      <c r="A6" s="9" t="s">
        <v>34</v>
      </c>
      <c r="B6" s="8" t="n">
        <v>200</v>
      </c>
    </row>
    <row r="7" customFormat="false" ht="15" hidden="false" customHeight="false" outlineLevel="0" collapsed="false">
      <c r="A7" s="9" t="s">
        <v>75</v>
      </c>
      <c r="B7" s="10" t="n">
        <v>1.68</v>
      </c>
    </row>
    <row r="8" customFormat="false" ht="15" hidden="false" customHeight="false" outlineLevel="0" collapsed="false">
      <c r="A8" s="9" t="s">
        <v>66</v>
      </c>
      <c r="B8" s="10" t="n">
        <v>1.81</v>
      </c>
    </row>
    <row r="9" customFormat="false" ht="15" hidden="false" customHeight="false" outlineLevel="0" collapsed="false">
      <c r="A9" s="9" t="s">
        <v>37</v>
      </c>
      <c r="B9" s="9" t="n">
        <f aca="false">2*(B7+B8)</f>
        <v>6.98</v>
      </c>
    </row>
    <row r="10" customFormat="false" ht="15" hidden="false" customHeight="false" outlineLevel="0" collapsed="false">
      <c r="A10" s="9" t="s">
        <v>38</v>
      </c>
      <c r="B10" s="11" t="n">
        <f aca="false">B4/B9</f>
        <v>45.2263610315186</v>
      </c>
    </row>
    <row r="11" customFormat="false" ht="15" hidden="false" customHeight="false" outlineLevel="0" collapsed="false">
      <c r="A11" s="9" t="s">
        <v>39</v>
      </c>
      <c r="B11" s="11" t="n">
        <f aca="false">B5/B9</f>
        <v>64.4699140401146</v>
      </c>
    </row>
    <row r="12" customFormat="false" ht="15" hidden="false" customHeight="false" outlineLevel="0" collapsed="false">
      <c r="A12" s="9" t="s">
        <v>40</v>
      </c>
      <c r="B12" s="11" t="n">
        <f aca="false">B6/B9</f>
        <v>28.6532951289398</v>
      </c>
    </row>
    <row r="13" customFormat="false" ht="15" hidden="false" customHeight="false" outlineLevel="0" collapsed="false">
      <c r="A13" s="9" t="s">
        <v>41</v>
      </c>
      <c r="B13" s="10" t="n">
        <v>60</v>
      </c>
    </row>
    <row r="14" customFormat="false" ht="15" hidden="false" customHeight="false" outlineLevel="0" collapsed="false">
      <c r="A14" s="9" t="s">
        <v>42</v>
      </c>
      <c r="B14" s="12" t="n">
        <f aca="false">IF(ISNUMBER(B13),B5/B13,"—")</f>
        <v>7.5</v>
      </c>
    </row>
    <row r="15" customFormat="false" ht="15" hidden="false" customHeight="false" outlineLevel="0" collapsed="false">
      <c r="A15" s="9" t="s">
        <v>43</v>
      </c>
      <c r="B15" s="13" t="n">
        <f aca="false">IF(ISNUMBER(B14),B9/B14-1,"—")</f>
        <v>-0.0693333333333333</v>
      </c>
    </row>
    <row r="16" customFormat="false" ht="15" hidden="false" customHeight="false" outlineLevel="0" collapsed="false">
      <c r="A16" s="9" t="s">
        <v>44</v>
      </c>
      <c r="B16" s="14" t="n">
        <f aca="false">(B5-B4)/(B4-B6)</f>
        <v>1.16113416320885</v>
      </c>
    </row>
    <row r="18" customFormat="false" ht="15" hidden="false" customHeight="false" outlineLevel="0" collapsed="false">
      <c r="A18" s="4" t="s">
        <v>45</v>
      </c>
    </row>
    <row r="19" customFormat="false" ht="15" hidden="false" customHeight="false" outlineLevel="0" collapsed="false">
      <c r="A19" s="9" t="s">
        <v>76</v>
      </c>
    </row>
    <row r="21" customFormat="false" ht="15" hidden="false" customHeight="false" outlineLevel="0" collapsed="false">
      <c r="A21" s="4" t="s">
        <v>47</v>
      </c>
    </row>
    <row r="22" customFormat="false" ht="15" hidden="false" customHeight="false" outlineLevel="0" collapsed="false">
      <c r="A22" s="4" t="s">
        <v>48</v>
      </c>
      <c r="B22" s="11" t="n">
        <f aca="false">ROUND(B12,1)</f>
        <v>28.7</v>
      </c>
      <c r="C22" s="11" t="n">
        <f aca="false">ROUND(B10,1)</f>
        <v>45.2</v>
      </c>
      <c r="D22" s="11" t="n">
        <f aca="false">ROUND(B11,1)</f>
        <v>64.5</v>
      </c>
    </row>
    <row r="23" customFormat="false" ht="15" hidden="false" customHeight="false" outlineLevel="0" collapsed="false">
      <c r="A23" s="12" t="n">
        <f aca="false">ROUND($B$9*0.85,2)</f>
        <v>5.93</v>
      </c>
      <c r="B23" s="15" t="n">
        <f aca="false">$A23*B$22</f>
        <v>170.191</v>
      </c>
      <c r="C23" s="15" t="n">
        <f aca="false">$A23*C$22</f>
        <v>268.036</v>
      </c>
      <c r="D23" s="15" t="n">
        <f aca="false">$A23*D$22</f>
        <v>382.485</v>
      </c>
    </row>
    <row r="24" customFormat="false" ht="15" hidden="false" customHeight="false" outlineLevel="0" collapsed="false">
      <c r="A24" s="12" t="n">
        <f aca="false">ROUND($B$9*1,2)</f>
        <v>6.98</v>
      </c>
      <c r="B24" s="15" t="n">
        <f aca="false">$A24*B$22</f>
        <v>200.326</v>
      </c>
      <c r="C24" s="15" t="n">
        <f aca="false">$A24*C$22</f>
        <v>315.496</v>
      </c>
      <c r="D24" s="15" t="n">
        <f aca="false">$A24*D$22</f>
        <v>450.21</v>
      </c>
    </row>
    <row r="25" customFormat="false" ht="15" hidden="false" customHeight="false" outlineLevel="0" collapsed="false">
      <c r="A25" s="12" t="n">
        <f aca="false">ROUND($B$9*1.15,2)</f>
        <v>8.03</v>
      </c>
      <c r="B25" s="15" t="n">
        <f aca="false">$A25*B$22</f>
        <v>230.461</v>
      </c>
      <c r="C25" s="15" t="n">
        <f aca="false">$A25*C$22</f>
        <v>362.956</v>
      </c>
      <c r="D25" s="15" t="n">
        <f aca="false">$A25*D$22</f>
        <v>517.935</v>
      </c>
    </row>
    <row r="27" customFormat="false" ht="15" hidden="false" customHeight="false" outlineLevel="0" collapsed="false">
      <c r="A27" s="4" t="s">
        <v>49</v>
      </c>
    </row>
    <row r="28" customFormat="false" ht="15" hidden="false" customHeight="true" outlineLevel="0" collapsed="false">
      <c r="A28" s="16" t="s">
        <v>77</v>
      </c>
      <c r="B28" s="16"/>
      <c r="C28" s="16"/>
      <c r="D28" s="16"/>
      <c r="E28" s="16"/>
      <c r="F28" s="16"/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6"/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6"/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16"/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6"/>
    </row>
  </sheetData>
  <mergeCells count="1">
    <mergeCell ref="A28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3"/>
  </cols>
  <sheetData>
    <row r="1" customFormat="false" ht="16.15" hidden="false" customHeight="false" outlineLevel="0" collapsed="false">
      <c r="A1" s="1" t="s">
        <v>78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4" t="s">
        <v>32</v>
      </c>
      <c r="B4" s="8" t="n">
        <v>288.49</v>
      </c>
    </row>
    <row r="5" customFormat="false" ht="15" hidden="false" customHeight="false" outlineLevel="0" collapsed="false">
      <c r="A5" s="9" t="s">
        <v>33</v>
      </c>
      <c r="B5" s="8" t="n">
        <v>370</v>
      </c>
    </row>
    <row r="6" customFormat="false" ht="15" hidden="false" customHeight="false" outlineLevel="0" collapsed="false">
      <c r="A6" s="9" t="s">
        <v>34</v>
      </c>
      <c r="B6" s="8" t="n">
        <v>220</v>
      </c>
    </row>
    <row r="7" customFormat="false" ht="15" hidden="false" customHeight="false" outlineLevel="0" collapsed="false">
      <c r="A7" s="9" t="s">
        <v>79</v>
      </c>
      <c r="B7" s="10" t="n">
        <v>1.43</v>
      </c>
    </row>
    <row r="8" customFormat="false" ht="15" hidden="false" customHeight="false" outlineLevel="0" collapsed="false">
      <c r="A8" s="9" t="s">
        <v>36</v>
      </c>
      <c r="B8" s="10" t="n">
        <v>1.79</v>
      </c>
    </row>
    <row r="9" customFormat="false" ht="15" hidden="false" customHeight="false" outlineLevel="0" collapsed="false">
      <c r="A9" s="9" t="s">
        <v>37</v>
      </c>
      <c r="B9" s="9" t="n">
        <f aca="false">2*(B7+B8)</f>
        <v>6.44</v>
      </c>
    </row>
    <row r="10" customFormat="false" ht="15" hidden="false" customHeight="false" outlineLevel="0" collapsed="false">
      <c r="A10" s="9" t="s">
        <v>38</v>
      </c>
      <c r="B10" s="11" t="n">
        <f aca="false">B4/B9</f>
        <v>44.7965838509317</v>
      </c>
    </row>
    <row r="11" customFormat="false" ht="15" hidden="false" customHeight="false" outlineLevel="0" collapsed="false">
      <c r="A11" s="9" t="s">
        <v>39</v>
      </c>
      <c r="B11" s="11" t="n">
        <f aca="false">B5/B9</f>
        <v>57.4534161490683</v>
      </c>
    </row>
    <row r="12" customFormat="false" ht="15" hidden="false" customHeight="false" outlineLevel="0" collapsed="false">
      <c r="A12" s="9" t="s">
        <v>40</v>
      </c>
      <c r="B12" s="11" t="n">
        <f aca="false">B6/B9</f>
        <v>34.1614906832298</v>
      </c>
    </row>
    <row r="13" customFormat="false" ht="15" hidden="false" customHeight="false" outlineLevel="0" collapsed="false">
      <c r="A13" s="9" t="s">
        <v>41</v>
      </c>
      <c r="B13" s="10" t="s">
        <v>53</v>
      </c>
    </row>
    <row r="14" customFormat="false" ht="15" hidden="false" customHeight="false" outlineLevel="0" collapsed="false">
      <c r="A14" s="9" t="s">
        <v>42</v>
      </c>
      <c r="B14" s="9" t="str">
        <f aca="false">IF(ISNUMBER(B13),B5/B13,"—")</f>
        <v>—</v>
      </c>
    </row>
    <row r="15" customFormat="false" ht="15" hidden="false" customHeight="false" outlineLevel="0" collapsed="false">
      <c r="A15" s="9" t="s">
        <v>43</v>
      </c>
      <c r="B15" s="13" t="str">
        <f aca="false">IF(ISNUMBER(B14),B9/B14-1,"—")</f>
        <v>—</v>
      </c>
    </row>
    <row r="16" customFormat="false" ht="15" hidden="false" customHeight="false" outlineLevel="0" collapsed="false">
      <c r="A16" s="9" t="s">
        <v>44</v>
      </c>
      <c r="B16" s="14" t="n">
        <f aca="false">(B5-B4)/(B4-B6)</f>
        <v>1.19010074463425</v>
      </c>
    </row>
    <row r="18" customFormat="false" ht="15" hidden="false" customHeight="false" outlineLevel="0" collapsed="false">
      <c r="A18" s="4" t="s">
        <v>45</v>
      </c>
    </row>
    <row r="19" customFormat="false" ht="15" hidden="false" customHeight="false" outlineLevel="0" collapsed="false">
      <c r="A19" s="9" t="s">
        <v>80</v>
      </c>
    </row>
    <row r="21" customFormat="false" ht="15" hidden="false" customHeight="false" outlineLevel="0" collapsed="false">
      <c r="A21" s="4" t="s">
        <v>47</v>
      </c>
    </row>
    <row r="22" customFormat="false" ht="15" hidden="false" customHeight="false" outlineLevel="0" collapsed="false">
      <c r="A22" s="4" t="s">
        <v>48</v>
      </c>
      <c r="B22" s="11" t="n">
        <f aca="false">ROUND(B12,1)</f>
        <v>34.2</v>
      </c>
      <c r="C22" s="11" t="n">
        <f aca="false">ROUND(B10,1)</f>
        <v>44.8</v>
      </c>
      <c r="D22" s="11" t="n">
        <f aca="false">ROUND(B11,1)</f>
        <v>57.5</v>
      </c>
    </row>
    <row r="23" customFormat="false" ht="15" hidden="false" customHeight="false" outlineLevel="0" collapsed="false">
      <c r="A23" s="12" t="n">
        <f aca="false">ROUND($B$9*0.85,2)</f>
        <v>5.47</v>
      </c>
      <c r="B23" s="15" t="n">
        <f aca="false">$A23*B$22</f>
        <v>187.074</v>
      </c>
      <c r="C23" s="15" t="n">
        <f aca="false">$A23*C$22</f>
        <v>245.056</v>
      </c>
      <c r="D23" s="15" t="n">
        <f aca="false">$A23*D$22</f>
        <v>314.525</v>
      </c>
    </row>
    <row r="24" customFormat="false" ht="15" hidden="false" customHeight="false" outlineLevel="0" collapsed="false">
      <c r="A24" s="12" t="n">
        <f aca="false">ROUND($B$9*1,2)</f>
        <v>6.44</v>
      </c>
      <c r="B24" s="15" t="n">
        <f aca="false">$A24*B$22</f>
        <v>220.248</v>
      </c>
      <c r="C24" s="15" t="n">
        <f aca="false">$A24*C$22</f>
        <v>288.512</v>
      </c>
      <c r="D24" s="15" t="n">
        <f aca="false">$A24*D$22</f>
        <v>370.3</v>
      </c>
    </row>
    <row r="25" customFormat="false" ht="15" hidden="false" customHeight="false" outlineLevel="0" collapsed="false">
      <c r="A25" s="12" t="n">
        <f aca="false">ROUND($B$9*1.15,2)</f>
        <v>7.41</v>
      </c>
      <c r="B25" s="15" t="n">
        <f aca="false">$A25*B$22</f>
        <v>253.422</v>
      </c>
      <c r="C25" s="15" t="n">
        <f aca="false">$A25*C$22</f>
        <v>331.968</v>
      </c>
      <c r="D25" s="15" t="n">
        <f aca="false">$A25*D$22</f>
        <v>426.075</v>
      </c>
    </row>
    <row r="27" customFormat="false" ht="15" hidden="false" customHeight="false" outlineLevel="0" collapsed="false">
      <c r="A27" s="4" t="s">
        <v>49</v>
      </c>
    </row>
    <row r="28" customFormat="false" ht="15" hidden="false" customHeight="true" outlineLevel="0" collapsed="false">
      <c r="A28" s="16" t="s">
        <v>81</v>
      </c>
      <c r="B28" s="16"/>
      <c r="C28" s="16"/>
      <c r="D28" s="16"/>
      <c r="E28" s="16"/>
      <c r="F28" s="16"/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6"/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6"/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16"/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6"/>
    </row>
  </sheetData>
  <mergeCells count="1">
    <mergeCell ref="A28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3"/>
  </cols>
  <sheetData>
    <row r="1" customFormat="false" ht="16.15" hidden="false" customHeight="false" outlineLevel="0" collapsed="false">
      <c r="A1" s="1" t="s">
        <v>82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4" t="s">
        <v>32</v>
      </c>
      <c r="B4" s="8" t="n">
        <v>163.39</v>
      </c>
    </row>
    <row r="5" customFormat="false" ht="15" hidden="false" customHeight="false" outlineLevel="0" collapsed="false">
      <c r="A5" s="9" t="s">
        <v>33</v>
      </c>
      <c r="B5" s="8" t="n">
        <v>185</v>
      </c>
    </row>
    <row r="6" customFormat="false" ht="15" hidden="false" customHeight="false" outlineLevel="0" collapsed="false">
      <c r="A6" s="9" t="s">
        <v>34</v>
      </c>
      <c r="B6" s="8" t="n">
        <v>90</v>
      </c>
    </row>
    <row r="7" customFormat="false" ht="15" hidden="false" customHeight="false" outlineLevel="0" collapsed="false">
      <c r="A7" s="9" t="s">
        <v>57</v>
      </c>
      <c r="B7" s="10" t="n">
        <v>0.86</v>
      </c>
    </row>
    <row r="8" customFormat="false" ht="15" hidden="false" customHeight="false" outlineLevel="0" collapsed="false">
      <c r="A8" s="9" t="s">
        <v>36</v>
      </c>
      <c r="B8" s="10" t="n">
        <v>0.89</v>
      </c>
    </row>
    <row r="9" customFormat="false" ht="15" hidden="false" customHeight="false" outlineLevel="0" collapsed="false">
      <c r="A9" s="9" t="s">
        <v>37</v>
      </c>
      <c r="B9" s="9" t="n">
        <f aca="false">2*(B7+B8)</f>
        <v>3.5</v>
      </c>
    </row>
    <row r="10" customFormat="false" ht="15" hidden="false" customHeight="false" outlineLevel="0" collapsed="false">
      <c r="A10" s="9" t="s">
        <v>38</v>
      </c>
      <c r="B10" s="11" t="n">
        <f aca="false">B4/B9</f>
        <v>46.6828571428571</v>
      </c>
    </row>
    <row r="11" customFormat="false" ht="15" hidden="false" customHeight="false" outlineLevel="0" collapsed="false">
      <c r="A11" s="9" t="s">
        <v>39</v>
      </c>
      <c r="B11" s="11" t="n">
        <f aca="false">B5/B9</f>
        <v>52.8571428571429</v>
      </c>
    </row>
    <row r="12" customFormat="false" ht="15" hidden="false" customHeight="false" outlineLevel="0" collapsed="false">
      <c r="A12" s="9" t="s">
        <v>40</v>
      </c>
      <c r="B12" s="11" t="n">
        <f aca="false">B6/B9</f>
        <v>25.7142857142857</v>
      </c>
    </row>
    <row r="13" customFormat="false" ht="15" hidden="false" customHeight="false" outlineLevel="0" collapsed="false">
      <c r="A13" s="9" t="s">
        <v>41</v>
      </c>
      <c r="B13" s="10" t="s">
        <v>53</v>
      </c>
    </row>
    <row r="14" customFormat="false" ht="15" hidden="false" customHeight="false" outlineLevel="0" collapsed="false">
      <c r="A14" s="9" t="s">
        <v>42</v>
      </c>
      <c r="B14" s="9" t="str">
        <f aca="false">IF(ISNUMBER(B13),B5/B13,"—")</f>
        <v>—</v>
      </c>
    </row>
    <row r="15" customFormat="false" ht="15" hidden="false" customHeight="false" outlineLevel="0" collapsed="false">
      <c r="A15" s="9" t="s">
        <v>43</v>
      </c>
      <c r="B15" s="13" t="str">
        <f aca="false">IF(ISNUMBER(B14),B9/B14-1,"—")</f>
        <v>—</v>
      </c>
    </row>
    <row r="16" customFormat="false" ht="15" hidden="false" customHeight="false" outlineLevel="0" collapsed="false">
      <c r="A16" s="9" t="s">
        <v>44</v>
      </c>
      <c r="B16" s="14" t="n">
        <f aca="false">(B5-B4)/(B4-B6)</f>
        <v>0.294454285324976</v>
      </c>
    </row>
    <row r="18" customFormat="false" ht="15" hidden="false" customHeight="false" outlineLevel="0" collapsed="false">
      <c r="A18" s="4" t="s">
        <v>45</v>
      </c>
    </row>
    <row r="19" customFormat="false" ht="15" hidden="false" customHeight="false" outlineLevel="0" collapsed="false">
      <c r="A19" s="9" t="s">
        <v>83</v>
      </c>
    </row>
    <row r="21" customFormat="false" ht="15" hidden="false" customHeight="false" outlineLevel="0" collapsed="false">
      <c r="A21" s="4" t="s">
        <v>47</v>
      </c>
    </row>
    <row r="22" customFormat="false" ht="15" hidden="false" customHeight="false" outlineLevel="0" collapsed="false">
      <c r="A22" s="4" t="s">
        <v>48</v>
      </c>
      <c r="B22" s="11" t="n">
        <f aca="false">ROUND(B12,1)</f>
        <v>25.7</v>
      </c>
      <c r="C22" s="11" t="n">
        <f aca="false">ROUND(B10,1)</f>
        <v>46.7</v>
      </c>
      <c r="D22" s="11" t="n">
        <f aca="false">ROUND(B11,1)</f>
        <v>52.9</v>
      </c>
    </row>
    <row r="23" customFormat="false" ht="15" hidden="false" customHeight="false" outlineLevel="0" collapsed="false">
      <c r="A23" s="12" t="n">
        <f aca="false">ROUND($B$9*0.85,2)</f>
        <v>2.98</v>
      </c>
      <c r="B23" s="15" t="n">
        <f aca="false">$A23*B$22</f>
        <v>76.586</v>
      </c>
      <c r="C23" s="15" t="n">
        <f aca="false">$A23*C$22</f>
        <v>139.166</v>
      </c>
      <c r="D23" s="15" t="n">
        <f aca="false">$A23*D$22</f>
        <v>157.642</v>
      </c>
    </row>
    <row r="24" customFormat="false" ht="15" hidden="false" customHeight="false" outlineLevel="0" collapsed="false">
      <c r="A24" s="12" t="n">
        <f aca="false">ROUND($B$9*1,2)</f>
        <v>3.5</v>
      </c>
      <c r="B24" s="15" t="n">
        <f aca="false">$A24*B$22</f>
        <v>89.95</v>
      </c>
      <c r="C24" s="15" t="n">
        <f aca="false">$A24*C$22</f>
        <v>163.45</v>
      </c>
      <c r="D24" s="15" t="n">
        <f aca="false">$A24*D$22</f>
        <v>185.15</v>
      </c>
    </row>
    <row r="25" customFormat="false" ht="15" hidden="false" customHeight="false" outlineLevel="0" collapsed="false">
      <c r="A25" s="12" t="n">
        <f aca="false">ROUND($B$9*1.15,2)</f>
        <v>4.03</v>
      </c>
      <c r="B25" s="15" t="n">
        <f aca="false">$A25*B$22</f>
        <v>103.571</v>
      </c>
      <c r="C25" s="15" t="n">
        <f aca="false">$A25*C$22</f>
        <v>188.201</v>
      </c>
      <c r="D25" s="15" t="n">
        <f aca="false">$A25*D$22</f>
        <v>213.187</v>
      </c>
    </row>
    <row r="27" customFormat="false" ht="15" hidden="false" customHeight="false" outlineLevel="0" collapsed="false">
      <c r="A27" s="4" t="s">
        <v>49</v>
      </c>
    </row>
    <row r="28" customFormat="false" ht="15" hidden="false" customHeight="true" outlineLevel="0" collapsed="false">
      <c r="A28" s="16" t="s">
        <v>84</v>
      </c>
      <c r="B28" s="16"/>
      <c r="C28" s="16"/>
      <c r="D28" s="16"/>
      <c r="E28" s="16"/>
      <c r="F28" s="16"/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6"/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6"/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16"/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6"/>
    </row>
  </sheetData>
  <mergeCells count="1">
    <mergeCell ref="A28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3"/>
  </cols>
  <sheetData>
    <row r="1" customFormat="false" ht="16.15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4" t="s">
        <v>32</v>
      </c>
      <c r="B4" s="8" t="n">
        <v>265.56</v>
      </c>
    </row>
    <row r="5" customFormat="false" ht="15" hidden="false" customHeight="false" outlineLevel="0" collapsed="false">
      <c r="A5" s="9" t="s">
        <v>33</v>
      </c>
      <c r="B5" s="8" t="n">
        <v>330</v>
      </c>
    </row>
    <row r="6" customFormat="false" ht="15" hidden="false" customHeight="false" outlineLevel="0" collapsed="false">
      <c r="A6" s="9" t="s">
        <v>34</v>
      </c>
      <c r="B6" s="8" t="n">
        <v>120</v>
      </c>
    </row>
    <row r="7" customFormat="false" ht="15" hidden="false" customHeight="false" outlineLevel="0" collapsed="false">
      <c r="A7" s="9" t="s">
        <v>86</v>
      </c>
      <c r="B7" s="10" t="n">
        <v>0.36</v>
      </c>
    </row>
    <row r="8" customFormat="false" ht="15" hidden="false" customHeight="false" outlineLevel="0" collapsed="false">
      <c r="A8" s="9" t="s">
        <v>36</v>
      </c>
      <c r="B8" s="10" t="n">
        <v>0.48</v>
      </c>
    </row>
    <row r="9" customFormat="false" ht="15" hidden="false" customHeight="false" outlineLevel="0" collapsed="false">
      <c r="A9" s="9" t="s">
        <v>37</v>
      </c>
      <c r="B9" s="9" t="n">
        <f aca="false">2*(B7+B8)</f>
        <v>1.68</v>
      </c>
    </row>
    <row r="10" customFormat="false" ht="15" hidden="false" customHeight="false" outlineLevel="0" collapsed="false">
      <c r="A10" s="9" t="s">
        <v>38</v>
      </c>
      <c r="B10" s="11" t="n">
        <f aca="false">B4/B9</f>
        <v>158.071428571429</v>
      </c>
    </row>
    <row r="11" customFormat="false" ht="15" hidden="false" customHeight="false" outlineLevel="0" collapsed="false">
      <c r="A11" s="9" t="s">
        <v>39</v>
      </c>
      <c r="B11" s="11" t="n">
        <f aca="false">B5/B9</f>
        <v>196.428571428571</v>
      </c>
    </row>
    <row r="12" customFormat="false" ht="15" hidden="false" customHeight="false" outlineLevel="0" collapsed="false">
      <c r="A12" s="9" t="s">
        <v>40</v>
      </c>
      <c r="B12" s="11" t="n">
        <f aca="false">B6/B9</f>
        <v>71.4285714285714</v>
      </c>
    </row>
    <row r="13" customFormat="false" ht="15" hidden="false" customHeight="false" outlineLevel="0" collapsed="false">
      <c r="A13" s="9" t="s">
        <v>41</v>
      </c>
      <c r="B13" s="10" t="s">
        <v>53</v>
      </c>
    </row>
    <row r="14" customFormat="false" ht="15" hidden="false" customHeight="false" outlineLevel="0" collapsed="false">
      <c r="A14" s="9" t="s">
        <v>42</v>
      </c>
      <c r="B14" s="9" t="str">
        <f aca="false">IF(ISNUMBER(B13),B5/B13,"—")</f>
        <v>—</v>
      </c>
    </row>
    <row r="15" customFormat="false" ht="15" hidden="false" customHeight="false" outlineLevel="0" collapsed="false">
      <c r="A15" s="9" t="s">
        <v>43</v>
      </c>
      <c r="B15" s="13" t="str">
        <f aca="false">IF(ISNUMBER(B14),B9/B14-1,"—")</f>
        <v>—</v>
      </c>
    </row>
    <row r="16" customFormat="false" ht="15" hidden="false" customHeight="false" outlineLevel="0" collapsed="false">
      <c r="A16" s="9" t="s">
        <v>44</v>
      </c>
      <c r="B16" s="14" t="n">
        <f aca="false">(B5-B4)/(B4-B6)</f>
        <v>0.442704039571311</v>
      </c>
    </row>
    <row r="18" customFormat="false" ht="15" hidden="false" customHeight="false" outlineLevel="0" collapsed="false">
      <c r="A18" s="4" t="s">
        <v>45</v>
      </c>
    </row>
    <row r="19" customFormat="false" ht="15" hidden="false" customHeight="false" outlineLevel="0" collapsed="false">
      <c r="A19" s="9" t="s">
        <v>87</v>
      </c>
    </row>
    <row r="21" customFormat="false" ht="15" hidden="false" customHeight="false" outlineLevel="0" collapsed="false">
      <c r="A21" s="4" t="s">
        <v>47</v>
      </c>
    </row>
    <row r="22" customFormat="false" ht="15" hidden="false" customHeight="false" outlineLevel="0" collapsed="false">
      <c r="A22" s="4" t="s">
        <v>48</v>
      </c>
      <c r="B22" s="11" t="n">
        <f aca="false">ROUND(B12,1)</f>
        <v>71.4</v>
      </c>
      <c r="C22" s="11" t="n">
        <f aca="false">ROUND(B10,1)</f>
        <v>158.1</v>
      </c>
      <c r="D22" s="11" t="n">
        <f aca="false">ROUND(B11,1)</f>
        <v>196.4</v>
      </c>
    </row>
    <row r="23" customFormat="false" ht="15" hidden="false" customHeight="false" outlineLevel="0" collapsed="false">
      <c r="A23" s="12" t="n">
        <f aca="false">ROUND($B$9*0.85,2)</f>
        <v>1.43</v>
      </c>
      <c r="B23" s="15" t="n">
        <f aca="false">$A23*B$22</f>
        <v>102.102</v>
      </c>
      <c r="C23" s="15" t="n">
        <f aca="false">$A23*C$22</f>
        <v>226.083</v>
      </c>
      <c r="D23" s="15" t="n">
        <f aca="false">$A23*D$22</f>
        <v>280.852</v>
      </c>
    </row>
    <row r="24" customFormat="false" ht="15" hidden="false" customHeight="false" outlineLevel="0" collapsed="false">
      <c r="A24" s="12" t="n">
        <f aca="false">ROUND($B$9*1,2)</f>
        <v>1.68</v>
      </c>
      <c r="B24" s="15" t="n">
        <f aca="false">$A24*B$22</f>
        <v>119.952</v>
      </c>
      <c r="C24" s="15" t="n">
        <f aca="false">$A24*C$22</f>
        <v>265.608</v>
      </c>
      <c r="D24" s="15" t="n">
        <f aca="false">$A24*D$22</f>
        <v>329.952</v>
      </c>
    </row>
    <row r="25" customFormat="false" ht="15" hidden="false" customHeight="false" outlineLevel="0" collapsed="false">
      <c r="A25" s="12" t="n">
        <f aca="false">ROUND($B$9*1.15,2)</f>
        <v>1.93</v>
      </c>
      <c r="B25" s="15" t="n">
        <f aca="false">$A25*B$22</f>
        <v>137.802</v>
      </c>
      <c r="C25" s="15" t="n">
        <f aca="false">$A25*C$22</f>
        <v>305.133</v>
      </c>
      <c r="D25" s="15" t="n">
        <f aca="false">$A25*D$22</f>
        <v>379.052</v>
      </c>
    </row>
    <row r="27" customFormat="false" ht="15" hidden="false" customHeight="false" outlineLevel="0" collapsed="false">
      <c r="A27" s="4" t="s">
        <v>49</v>
      </c>
    </row>
    <row r="28" customFormat="false" ht="15" hidden="false" customHeight="true" outlineLevel="0" collapsed="false">
      <c r="A28" s="16" t="s">
        <v>88</v>
      </c>
      <c r="B28" s="16"/>
      <c r="C28" s="16"/>
      <c r="D28" s="16"/>
      <c r="E28" s="16"/>
      <c r="F28" s="16"/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6"/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6"/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16"/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6"/>
    </row>
  </sheetData>
  <mergeCells count="1">
    <mergeCell ref="A28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2026-07-07T23:57:18Z</dcterms:created>
  <dc:creator>openpyxl</dc:creator>
  <dc:description/>
  <dc:language>en-US</dc:language>
  <cp:lastModifiedBy/>
  <dcterms:modified xsi:type="dcterms:W3CDTF">2026-07-07T23:57:18Z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