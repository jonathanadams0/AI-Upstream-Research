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DCF Model" sheetId="3" state="visible" r:id="rId5"/>
    <sheet name="Sensitivit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<sst xmlns="http://schemas.openxmlformats.org/spreadsheetml/2006/main" count="129" uniqueCount="120">
  <si>
    <t xml:space="preserve">NRG Energy (NYSE: NRG) — DCF Model v1</t>
  </si>
  <si>
    <t xml:space="preserve">June 3, 2026 | Buy / $185 PT</t>
  </si>
  <si>
    <t xml:space="preserve">Rating</t>
  </si>
  <si>
    <t xml:space="preserve">Buy</t>
  </si>
  <si>
    <t xml:space="preserve">Price Target</t>
  </si>
  <si>
    <t xml:space="preserve">$185</t>
  </si>
  <si>
    <t xml:space="preserve">Current Price (Jun 3, 2026)</t>
  </si>
  <si>
    <t xml:space="preserve">$133.76</t>
  </si>
  <si>
    <t xml:space="preserve">Market Cap</t>
  </si>
  <si>
    <t xml:space="preserve">~$28B</t>
  </si>
  <si>
    <t xml:space="preserve">Net Debt (post-LS Power)</t>
  </si>
  <si>
    <t xml:space="preserve">~$27B</t>
  </si>
  <si>
    <t xml:space="preserve">Enterprise Value</t>
  </si>
  <si>
    <t xml:space="preserve">~$55B</t>
  </si>
  <si>
    <t xml:space="preserve">2026E Adj. EBITDA (guidance midpoint)</t>
  </si>
  <si>
    <t xml:space="preserve">$5.575B</t>
  </si>
  <si>
    <t xml:space="preserve">2026E FCFbG (est.)</t>
  </si>
  <si>
    <t xml:space="preserve">~$3.0-3.5B</t>
  </si>
  <si>
    <t xml:space="preserve">Data center pipeline (not in guidance)</t>
  </si>
  <si>
    <t xml:space="preserve">5.4 GW GEV/Kiewit CCGTs</t>
  </si>
  <si>
    <t xml:space="preserve">ERCOT power price assumption (guidance)</t>
  </si>
  <si>
    <t xml:space="preserve">~$52/MWh</t>
  </si>
  <si>
    <t xml:space="preserve">ERCOT gross margin at $100/MWh</t>
  </si>
  <si>
    <t xml:space="preserve">&gt;$3.0B Texas gross margin</t>
  </si>
  <si>
    <t xml:space="preserve">WACC</t>
  </si>
  <si>
    <t xml:space="preserve">9.5%</t>
  </si>
  <si>
    <t xml:space="preserve">Terminal Growth Rate</t>
  </si>
  <si>
    <t xml:space="preserve">2.5%</t>
  </si>
  <si>
    <t xml:space="preserve">Most contrarian element</t>
  </si>
  <si>
    <t xml:space="preserve">Stock 45% below consensus mean PT of $194.50</t>
  </si>
  <si>
    <t xml:space="preserve">Bull case trigger</t>
  </si>
  <si>
    <t xml:space="preserve">Any GW of data center PPA signed above the 445 MW already contracted</t>
  </si>
  <si>
    <t xml:space="preserve">Source: NRG Q1'26 8-K (May 6, 2026), Bigdata.com (FD39EB), June 3, 2026</t>
  </si>
  <si>
    <t xml:space="preserve">Powered by Bigdata.com — https://bigdata.com</t>
  </si>
  <si>
    <t xml:space="preserve">Assumption</t>
  </si>
  <si>
    <t xml:space="preserve">Value</t>
  </si>
  <si>
    <t xml:space="preserve">Rationale</t>
  </si>
  <si>
    <t xml:space="preserve">  Risk-Free Rate (10Y UST)</t>
  </si>
  <si>
    <t xml:space="preserve">Market rate, June 2026</t>
  </si>
  <si>
    <t xml:space="preserve">  Equity Risk Premium</t>
  </si>
  <si>
    <t xml:space="preserve">Damodaran US ERP</t>
  </si>
  <si>
    <t xml:space="preserve">  Beta (levered)</t>
  </si>
  <si>
    <t xml:space="preserve">Source: Bigdata.com tearsheet</t>
  </si>
  <si>
    <t xml:space="preserve">  Cost of Equity</t>
  </si>
  <si>
    <t xml:space="preserve">CAPM: Rf + Beta * ERP</t>
  </si>
  <si>
    <t xml:space="preserve">  After-tax Cost of Debt</t>
  </si>
  <si>
    <t xml:space="preserve">IG-rated; ~6.5% gross coupon, 26% tax rate</t>
  </si>
  <si>
    <t xml:space="preserve">  Debt Weight</t>
  </si>
  <si>
    <t xml:space="preserve">Net debt ~$27B vs. ~$55B EV</t>
  </si>
  <si>
    <t xml:space="preserve">  WACC</t>
  </si>
  <si>
    <t xml:space="preserve">Weighted average cost of capital</t>
  </si>
  <si>
    <t xml:space="preserve">TERMINAL VALUE</t>
  </si>
  <si>
    <t xml:space="preserve">  Terminal Growth Rate (g)</t>
  </si>
  <si>
    <t xml:space="preserve">Long-run nominal GDP; utility-like tail</t>
  </si>
  <si>
    <t xml:space="preserve">  Terminal EV/EBITDA (cross-check)</t>
  </si>
  <si>
    <t xml:space="preserve">Modest premium to pure merchant; discount to contracted peers</t>
  </si>
  <si>
    <t xml:space="preserve">CAPITAL STRUCTURE</t>
  </si>
  <si>
    <t xml:space="preserve">  Net Debt (2026E, $M)</t>
  </si>
  <si>
    <t xml:space="preserve">Post-LS Power; declining via FCF</t>
  </si>
  <si>
    <t xml:space="preserve">  Diluted Shares (M)</t>
  </si>
  <si>
    <t xml:space="preserve">Approx.; post buyback trajectory</t>
  </si>
  <si>
    <t xml:space="preserve">  Tax Rate</t>
  </si>
  <si>
    <t xml:space="preserve">Normalized federal + state</t>
  </si>
  <si>
    <t xml:space="preserve">  Base ERCOT Power Price (guidance)</t>
  </si>
  <si>
    <t xml:space="preserve">$/MWh — management base case</t>
  </si>
  <si>
    <t xml:space="preserve">($M unless noted)</t>
  </si>
  <si>
    <t xml:space="preserve">2024A</t>
  </si>
  <si>
    <t xml:space="preserve">2025A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</si>
  <si>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</si>
  <si>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</si>
  <si>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</si>
  <si>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</si>
  <si>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</si>
  <si>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INCOME STATEMENT</t>
  </si>
  <si>
    <t xml:space="preserve">  Adj. EBITDA</t>
  </si>
  <si>
    <t xml:space="preserve">  YoY Growth</t>
  </si>
  <si>
    <t xml:space="preserve">  D&amp;A</t>
  </si>
  <si>
    <t xml:space="preserve">  EBIT</t>
  </si>
  <si>
    <t xml:space="preserve">  Interest Expense</t>
  </si>
  <si>
    <t xml:space="preserve">  NOPAT (after-tax EBIT)</t>
  </si>
  <si>
    <t xml:space="preserve">FREE CASH FLOW</t>
  </si>
  <si>
    <t xml:space="preserve">  NOPAT</t>
  </si>
  <si>
    <t xml:space="preserve">  + D&amp;A</t>
  </si>
  <si>
    <t xml:space="preserve">  - CapEx (maintenance + growth)</t>
  </si>
  <si>
    <t xml:space="preserve">  - Working Capital / Other</t>
  </si>
  <si>
    <t xml:space="preserve">  Unlevered FCF (UFCF)</t>
  </si>
  <si>
    <t xml:space="preserve">DCF CALCULATION (explicit: 2026-2030)</t>
  </si>
  <si>
    <t xml:space="preserve">  Year</t>
  </si>
  <si>
    <t xml:space="preserve">  Discount Factor</t>
  </si>
  <si>
    <t xml:space="preserve">  PV of UFCF</t>
  </si>
  <si>
    <t xml:space="preserve">  Sum of PV (UFCF)</t>
  </si>
  <si>
    <t xml:space="preserve">  Terminal UFCF = last year UFCF * (1+g)</t>
  </si>
  <si>
    <t xml:space="preserve">  Terminal Value (Gordon Growth)</t>
  </si>
  <si>
    <t xml:space="preserve">  PV of Terminal Value</t>
  </si>
  <si>
    <t xml:space="preserve">ENTERPRISE &amp; EQUITY VALUE</t>
  </si>
  <si>
    <t xml:space="preserve">  Sum of PV (Explicit FCFs)</t>
  </si>
  <si>
    <t xml:space="preserve">  Enterprise Value</t>
  </si>
  <si>
    <t xml:space="preserve">  - Net Debt</t>
  </si>
  <si>
    <t xml:space="preserve">  - Preferred Stock</t>
  </si>
  <si>
    <t xml:space="preserve">  Equity Value</t>
  </si>
  <si>
    <t xml:space="preserve">  Implied Share Price (Base Case)</t>
  </si>
  <si>
    <t xml:space="preserve">DATA CENTER PIPELINE UPSIDE (not in base case)</t>
  </si>
  <si>
    <t xml:space="preserve">  GW of data center PPAs signed (modeled at 6 GW)</t>
  </si>
  <si>
    <t xml:space="preserve">  Incremental annual Adj. EBITDA (management: $2.5B at 6 GW)</t>
  </si>
  <si>
    <t xml:space="preserve">  Contract term (years)</t>
  </si>
  <si>
    <t xml:space="preserve">  NPV of incremental EBITDA (at WACC 9.5%)</t>
  </si>
  <si>
    <t xml:space="preserve">  Per share value of data center pipeline</t>
  </si>
  <si>
    <t xml:space="preserve">  BULL CASE PRICE (base + pipeline)</t>
  </si>
  <si>
    <t xml:space="preserve">WACC \ Term.g</t>
  </si>
  <si>
    <t xml:space="preserve">1.5%</t>
  </si>
  <si>
    <t xml:space="preserve">2.0%</t>
  </si>
  <si>
    <t xml:space="preserve">3.0%</t>
  </si>
  <si>
    <t xml:space="preserve">3.5%</t>
  </si>
  <si>
    <t xml:space="preserve">8.0%</t>
  </si>
  <si>
    <t xml:space="preserve">8.5%</t>
  </si>
  <si>
    <t xml:space="preserve">10.0%</t>
  </si>
  <si>
    <t xml:space="preserve">11.0%</t>
  </si>
  <si>
    <t xml:space="preserve">Green = within $40 of base PT ($185)  |  Yellow = Bull scenario (&gt;$250)</t>
  </si>
  <si>
    <t xml:space="preserve">Base: WACC 9.5%, g 2.5%. Does NOT include data center pipeline NPV.</t>
  </si>
  <si>
    <t xml:space="preserve">Bull case adds ~$50-100/share if 6 GW data center PPAs contracted at $2.5B/yr on 20-yr terms.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</si>
</sst>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%"/>
    <numFmt numFmtId="166" formatCode="0.00"/>
    <numFmt numFmtId="167" formatCode="0.0\x"/>
    <numFmt numFmtId="168" formatCode="#,##0"/>
    <numFmt numFmtId="169" formatCode="#,##0;\(#,##0\);\-"/>
    <numFmt numFmtId="170" formatCode="0"/>
    <numFmt numFmtId="171" formatCode="0.0000"/>
    <numFmt numFmtId="172" formatCode="\$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3A6B"/>
      <name val="Arial"/>
      <family val="0"/>
      <charset val="1"/>
    </font>
    <font>
      <sz val="11"/>
      <color rgb="FF88888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888888"/>
      <name val="Arial"/>
      <family val="0"/>
      <charset val="1"/>
    </font>
    <font>
      <b val="true"/>
      <sz val="11"/>
      <color rgb="FF1B3A6B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DCE6F1"/>
        <bgColor rgb="FFC6EFCE"/>
      </patternFill>
    </fill>
    <fill>
      <patternFill patternType="solid">
        <fgColor rgb="FFC6EFCE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42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5" t="s">
        <v>5</v>
      </c>
    </row>
    <row r="6" customFormat="false" ht="15" hidden="false" customHeight="true" outlineLevel="0" collapsed="false">
      <c r="A6" s="4" t="s">
        <v>6</v>
      </c>
      <c r="B6" s="5" t="s">
        <v>7</v>
      </c>
    </row>
    <row r="7" customFormat="false" ht="15" hidden="false" customHeight="true" outlineLevel="0" collapsed="false">
      <c r="A7" s="4" t="s">
        <v>8</v>
      </c>
      <c r="B7" s="5" t="s">
        <v>9</v>
      </c>
    </row>
    <row r="8" customFormat="false" ht="15" hidden="false" customHeight="true" outlineLevel="0" collapsed="false">
      <c r="A8" s="4" t="s">
        <v>10</v>
      </c>
      <c r="B8" s="5" t="s">
        <v>11</v>
      </c>
    </row>
    <row r="9" customFormat="false" ht="15" hidden="false" customHeight="true" outlineLevel="0" collapsed="false">
      <c r="A9" s="4" t="s">
        <v>12</v>
      </c>
      <c r="B9" s="5" t="s">
        <v>13</v>
      </c>
    </row>
    <row r="10" customFormat="false" ht="15" hidden="false" customHeight="true" outlineLevel="0" collapsed="false">
      <c r="A10" s="4" t="s">
        <v>14</v>
      </c>
      <c r="B10" s="5" t="s">
        <v>15</v>
      </c>
    </row>
    <row r="11" customFormat="false" ht="15" hidden="false" customHeight="true" outlineLevel="0" collapsed="false">
      <c r="A11" s="4" t="s">
        <v>16</v>
      </c>
      <c r="B11" s="5" t="s">
        <v>17</v>
      </c>
    </row>
    <row r="12" customFormat="false" ht="15" hidden="false" customHeight="true" outlineLevel="0" collapsed="false">
      <c r="A12" s="4" t="s">
        <v>18</v>
      </c>
      <c r="B12" s="5" t="s">
        <v>19</v>
      </c>
    </row>
    <row r="13" customFormat="false" ht="15" hidden="false" customHeight="true" outlineLevel="0" collapsed="false">
      <c r="A13" s="4" t="s">
        <v>20</v>
      </c>
      <c r="B13" s="5" t="s">
        <v>21</v>
      </c>
    </row>
    <row r="14" customFormat="false" ht="15" hidden="false" customHeight="true" outlineLevel="0" collapsed="false">
      <c r="A14" s="4" t="s">
        <v>22</v>
      </c>
      <c r="B14" s="5" t="s">
        <v>23</v>
      </c>
    </row>
    <row r="15" customFormat="false" ht="15" hidden="false" customHeight="true" outlineLevel="0" collapsed="false">
      <c r="A15" s="4" t="s">
        <v>24</v>
      </c>
      <c r="B15" s="5" t="s">
        <v>25</v>
      </c>
    </row>
    <row r="16" customFormat="false" ht="15" hidden="false" customHeight="true" outlineLevel="0" collapsed="false">
      <c r="A16" s="4" t="s">
        <v>26</v>
      </c>
      <c r="B16" s="5" t="s">
        <v>27</v>
      </c>
    </row>
    <row r="17" customFormat="false" ht="15" hidden="false" customHeight="true" outlineLevel="0" collapsed="false">
      <c r="A17" s="4" t="s">
        <v>28</v>
      </c>
      <c r="B17" s="5" t="s">
        <v>29</v>
      </c>
    </row>
    <row r="18" customFormat="false" ht="15" hidden="false" customHeight="true" outlineLevel="0" collapsed="false">
      <c r="A18" s="4" t="s">
        <v>30</v>
      </c>
      <c r="B18" s="5" t="s">
        <v>31</v>
      </c>
    </row>
    <row r="21" customFormat="false" ht="15" hidden="false" customHeight="true" outlineLevel="0" collapsed="false">
      <c r="A21" s="6" t="s">
        <v>32</v>
      </c>
    </row>
    <row r="22" customFormat="false" ht="15" hidden="false" customHeight="true" outlineLevel="0" collapsed="false">
      <c r="A22" s="6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6"/>
    <col collapsed="false" customWidth="true" hidden="false" outlineLevel="0" max="3" min="3" style="1" width="44"/>
  </cols>
  <sheetData>
    <row r="1" customFormat="false" ht="15" hidden="false" customHeight="true" outlineLevel="0" collapsed="false">
      <c r="A1" s="7" t="s">
        <v>34</v>
      </c>
      <c r="B1" s="7" t="s">
        <v>35</v>
      </c>
      <c r="C1" s="7" t="s">
        <v>36</v>
      </c>
    </row>
    <row r="2" customFormat="false" ht="15" hidden="false" customHeight="true" outlineLevel="0" collapsed="false">
      <c r="A2" s="8" t="s">
        <v>24</v>
      </c>
      <c r="B2" s="9"/>
      <c r="C2" s="9"/>
      <c r="D2" s="9"/>
      <c r="E2" s="9"/>
      <c r="F2" s="9"/>
      <c r="G2" s="9"/>
      <c r="H2" s="9"/>
      <c r="I2" s="9"/>
    </row>
    <row r="3" customFormat="false" ht="15" hidden="false" customHeight="true" outlineLevel="0" collapsed="false">
      <c r="A3" s="10" t="s">
        <v>37</v>
      </c>
      <c r="B3" s="11" t="n">
        <v>0.043</v>
      </c>
      <c r="C3" s="10" t="s">
        <v>38</v>
      </c>
    </row>
    <row r="4" customFormat="false" ht="15" hidden="false" customHeight="true" outlineLevel="0" collapsed="false">
      <c r="A4" s="10" t="s">
        <v>39</v>
      </c>
      <c r="B4" s="11" t="n">
        <v>0.055</v>
      </c>
      <c r="C4" s="10" t="s">
        <v>40</v>
      </c>
    </row>
    <row r="5" customFormat="false" ht="15" hidden="false" customHeight="true" outlineLevel="0" collapsed="false">
      <c r="A5" s="10" t="s">
        <v>41</v>
      </c>
      <c r="B5" s="12" t="n">
        <v>1.315</v>
      </c>
      <c r="C5" s="10" t="s">
        <v>42</v>
      </c>
    </row>
    <row r="6" customFormat="false" ht="15" hidden="false" customHeight="true" outlineLevel="0" collapsed="false">
      <c r="A6" s="10" t="s">
        <v>43</v>
      </c>
      <c r="B6" s="13" t="n">
        <f aca="false">B3+(B5*B4)</f>
        <v>0.115325</v>
      </c>
      <c r="C6" s="10" t="s">
        <v>44</v>
      </c>
    </row>
    <row r="7" customFormat="false" ht="15" hidden="false" customHeight="true" outlineLevel="0" collapsed="false">
      <c r="A7" s="10" t="s">
        <v>45</v>
      </c>
      <c r="B7" s="11" t="n">
        <v>0.048</v>
      </c>
      <c r="C7" s="10" t="s">
        <v>46</v>
      </c>
    </row>
    <row r="8" customFormat="false" ht="15" hidden="false" customHeight="true" outlineLevel="0" collapsed="false">
      <c r="A8" s="10" t="s">
        <v>47</v>
      </c>
      <c r="B8" s="11" t="n">
        <v>0.52</v>
      </c>
      <c r="C8" s="10" t="s">
        <v>48</v>
      </c>
    </row>
    <row r="9" customFormat="false" ht="15" hidden="false" customHeight="true" outlineLevel="0" collapsed="false">
      <c r="A9" s="10" t="s">
        <v>49</v>
      </c>
      <c r="B9" s="13" t="n">
        <f aca="false">B6*(1-B8)+B7*B8</f>
        <v>0.080316</v>
      </c>
      <c r="C9" s="10" t="s">
        <v>50</v>
      </c>
    </row>
    <row r="10" customFormat="false" ht="15" hidden="false" customHeight="true" outlineLevel="0" collapsed="false">
      <c r="A10" s="8" t="s">
        <v>51</v>
      </c>
      <c r="B10" s="9"/>
      <c r="C10" s="9"/>
      <c r="D10" s="9"/>
      <c r="E10" s="9"/>
      <c r="F10" s="9"/>
      <c r="G10" s="9"/>
      <c r="H10" s="9"/>
      <c r="I10" s="9"/>
    </row>
    <row r="11" customFormat="false" ht="15" hidden="false" customHeight="true" outlineLevel="0" collapsed="false">
      <c r="A11" s="10" t="s">
        <v>52</v>
      </c>
      <c r="B11" s="11" t="n">
        <v>0.025</v>
      </c>
      <c r="C11" s="10" t="s">
        <v>53</v>
      </c>
    </row>
    <row r="12" customFormat="false" ht="15" hidden="false" customHeight="true" outlineLevel="0" collapsed="false">
      <c r="A12" s="10" t="s">
        <v>54</v>
      </c>
      <c r="B12" s="14" t="n">
        <v>11</v>
      </c>
      <c r="C12" s="10" t="s">
        <v>55</v>
      </c>
    </row>
    <row r="13" customFormat="false" ht="15" hidden="false" customHeight="true" outlineLevel="0" collapsed="false">
      <c r="A13" s="8" t="s">
        <v>56</v>
      </c>
      <c r="B13" s="9"/>
      <c r="C13" s="9"/>
      <c r="D13" s="9"/>
      <c r="E13" s="9"/>
      <c r="F13" s="9"/>
      <c r="G13" s="9"/>
      <c r="H13" s="9"/>
      <c r="I13" s="9"/>
    </row>
    <row r="14" customFormat="false" ht="15" hidden="false" customHeight="true" outlineLevel="0" collapsed="false">
      <c r="A14" s="10" t="s">
        <v>57</v>
      </c>
      <c r="B14" s="15" t="n">
        <v>27000</v>
      </c>
      <c r="C14" s="10" t="s">
        <v>58</v>
      </c>
    </row>
    <row r="15" customFormat="false" ht="15" hidden="false" customHeight="true" outlineLevel="0" collapsed="false">
      <c r="A15" s="10" t="s">
        <v>59</v>
      </c>
      <c r="B15" s="15" t="n">
        <v>200</v>
      </c>
      <c r="C15" s="10" t="s">
        <v>60</v>
      </c>
    </row>
    <row r="16" customFormat="false" ht="15" hidden="false" customHeight="true" outlineLevel="0" collapsed="false">
      <c r="A16" s="10" t="s">
        <v>61</v>
      </c>
      <c r="B16" s="11" t="n">
        <v>0.25</v>
      </c>
      <c r="C16" s="10" t="s">
        <v>62</v>
      </c>
    </row>
    <row r="17" customFormat="false" ht="15" hidden="false" customHeight="true" outlineLevel="0" collapsed="false">
      <c r="A17" s="10" t="s">
        <v>63</v>
      </c>
      <c r="B17" s="15" t="n">
        <v>52</v>
      </c>
      <c r="C17" s="10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8" min="2" style="1" width="13"/>
  </cols>
  <sheetData>
    <row r="1" customFormat="false" ht="15" hidden="false" customHeight="true" outlineLevel="0" collapsed="false">
      <c r="A1" s="7" t="s">
        <v>65</v>
      </c>
      <c r="B1" s="7" t="s">
        <v>66</v>
      </c>
      <c r="C1" s="7" t="s">
        <v>67</v>
      </c>
      <c r="D1" s="7" t="s">
        <v>68</v>
      </c>
      <c r="E1" s="7" t="s">
        <v>69</v>
      </c>
      <c r="F1" s="7" t="s">
        <v>70</v>
      </c>
      <c r="G1" s="7" t="s">
        <v>71</v>
      </c>
      <c r="H1" s="7" t="s">
        <v>72</v>
      </c>
    </row>
    <row r="2" customFormat="false" ht="15" hidden="false" customHeight="true" outlineLevel="0" collapsed="false">
      <c r="A2" s="8" t="s">
        <v>73</v>
      </c>
      <c r="B2" s="9"/>
      <c r="C2" s="9"/>
      <c r="D2" s="9"/>
      <c r="E2" s="9"/>
      <c r="F2" s="9"/>
      <c r="G2" s="9"/>
      <c r="H2" s="9"/>
      <c r="I2" s="9"/>
    </row>
    <row r="3" customFormat="false" ht="15" hidden="false" customHeight="true" outlineLevel="0" collapsed="false">
      <c r="A3" s="10" t="s">
        <v>74</v>
      </c>
      <c r="B3" s="16" t="n">
        <v>3500</v>
      </c>
      <c r="C3" s="16" t="n">
        <v>3800</v>
      </c>
      <c r="D3" s="17" t="n">
        <v>5575</v>
      </c>
      <c r="E3" s="17" t="n">
        <v>6500</v>
      </c>
      <c r="F3" s="17" t="n">
        <v>7200</v>
      </c>
      <c r="G3" s="17" t="n">
        <v>7800</v>
      </c>
      <c r="H3" s="17" t="n">
        <v>8300</v>
      </c>
    </row>
    <row r="4" customFormat="false" ht="15" hidden="false" customHeight="true" outlineLevel="0" collapsed="false">
      <c r="A4" s="10" t="s">
        <v>75</v>
      </c>
      <c r="B4" s="18"/>
      <c r="C4" s="13" t="n">
        <f aca="false">(C3-B3)/B3</f>
        <v>0.0857142857142857</v>
      </c>
      <c r="D4" s="13" t="n">
        <f aca="false">(D3-C3)/C3</f>
        <v>0.467105263157895</v>
      </c>
      <c r="E4" s="13" t="n">
        <f aca="false">(E3-D3)/D3</f>
        <v>0.165919282511211</v>
      </c>
      <c r="F4" s="13" t="n">
        <f aca="false">(F3-E3)/E3</f>
        <v>0.107692307692308</v>
      </c>
      <c r="G4" s="13" t="n">
        <f aca="false">(G3-F3)/F3</f>
        <v>0.0833333333333333</v>
      </c>
      <c r="H4" s="13" t="n">
        <f aca="false">(H3-G3)/G3</f>
        <v>0.0641025641025641</v>
      </c>
    </row>
    <row r="5" customFormat="false" ht="15" hidden="false" customHeight="true" outlineLevel="0" collapsed="false">
      <c r="A5" s="10" t="s">
        <v>76</v>
      </c>
      <c r="B5" s="16" t="n">
        <v>740</v>
      </c>
      <c r="C5" s="16" t="n">
        <v>760</v>
      </c>
      <c r="D5" s="17" t="n">
        <v>800</v>
      </c>
      <c r="E5" s="17" t="n">
        <v>850</v>
      </c>
      <c r="F5" s="17" t="n">
        <v>900</v>
      </c>
      <c r="G5" s="17" t="n">
        <v>950</v>
      </c>
      <c r="H5" s="17" t="n">
        <v>1000</v>
      </c>
    </row>
    <row r="6" customFormat="false" ht="15" hidden="false" customHeight="true" outlineLevel="0" collapsed="false">
      <c r="A6" s="10" t="s">
        <v>77</v>
      </c>
      <c r="B6" s="19" t="n">
        <f aca="false">B3-B5</f>
        <v>2760</v>
      </c>
      <c r="C6" s="19" t="n">
        <f aca="false">C3-C5</f>
        <v>3040</v>
      </c>
      <c r="D6" s="19" t="n">
        <f aca="false">D3-D5</f>
        <v>4775</v>
      </c>
      <c r="E6" s="19" t="n">
        <f aca="false">E3-E5</f>
        <v>5650</v>
      </c>
      <c r="F6" s="19" t="n">
        <f aca="false">F3-F5</f>
        <v>6300</v>
      </c>
      <c r="G6" s="19" t="n">
        <f aca="false">G3-G5</f>
        <v>6850</v>
      </c>
      <c r="H6" s="19" t="n">
        <f aca="false">H3-H5</f>
        <v>7300</v>
      </c>
    </row>
    <row r="7" customFormat="false" ht="15" hidden="false" customHeight="true" outlineLevel="0" collapsed="false">
      <c r="A7" s="10" t="s">
        <v>78</v>
      </c>
      <c r="B7" s="16" t="n">
        <v>1200</v>
      </c>
      <c r="C7" s="16" t="n">
        <v>1300</v>
      </c>
      <c r="D7" s="17" t="n">
        <v>1200</v>
      </c>
      <c r="E7" s="17" t="n">
        <v>1100</v>
      </c>
      <c r="F7" s="17" t="n">
        <v>1000</v>
      </c>
      <c r="G7" s="17" t="n">
        <v>900</v>
      </c>
      <c r="H7" s="17" t="n">
        <v>800</v>
      </c>
    </row>
    <row r="8" customFormat="false" ht="15" hidden="false" customHeight="true" outlineLevel="0" collapsed="false">
      <c r="A8" s="10" t="s">
        <v>61</v>
      </c>
      <c r="B8" s="20" t="n">
        <v>0</v>
      </c>
      <c r="C8" s="20" t="n">
        <v>0</v>
      </c>
      <c r="D8" s="11" t="n">
        <v>0.25</v>
      </c>
      <c r="E8" s="11" t="n">
        <v>0.25</v>
      </c>
      <c r="F8" s="11" t="n">
        <v>0.25</v>
      </c>
      <c r="G8" s="11" t="n">
        <v>0.25</v>
      </c>
      <c r="H8" s="11" t="n">
        <v>0.25</v>
      </c>
    </row>
    <row r="9" customFormat="false" ht="15" hidden="false" customHeight="true" outlineLevel="0" collapsed="false">
      <c r="A9" s="10" t="s">
        <v>79</v>
      </c>
      <c r="B9" s="18"/>
      <c r="C9" s="18"/>
      <c r="D9" s="19" t="n">
        <f aca="false">D6*(1-D8)</f>
        <v>3581.25</v>
      </c>
      <c r="E9" s="19" t="n">
        <f aca="false">E6*(1-E8)</f>
        <v>4237.5</v>
      </c>
      <c r="F9" s="19" t="n">
        <f aca="false">F6*(1-F8)</f>
        <v>4725</v>
      </c>
      <c r="G9" s="19" t="n">
        <f aca="false">G6*(1-G8)</f>
        <v>5137.5</v>
      </c>
      <c r="H9" s="19" t="n">
        <f aca="false">H6*(1-H8)</f>
        <v>5475</v>
      </c>
    </row>
    <row r="10" customFormat="false" ht="15" hidden="false" customHeight="true" outlineLevel="0" collapsed="false">
      <c r="A10" s="18"/>
      <c r="B10" s="18"/>
      <c r="C10" s="18"/>
      <c r="D10" s="18"/>
      <c r="E10" s="18"/>
      <c r="F10" s="18"/>
      <c r="G10" s="18"/>
      <c r="H10" s="18"/>
      <c r="I10" s="18"/>
    </row>
    <row r="11" customFormat="false" ht="15" hidden="false" customHeight="true" outlineLevel="0" collapsed="false">
      <c r="A11" s="8" t="s">
        <v>80</v>
      </c>
      <c r="B11" s="9"/>
      <c r="C11" s="9"/>
      <c r="D11" s="9"/>
      <c r="E11" s="9"/>
      <c r="F11" s="9"/>
      <c r="G11" s="9"/>
      <c r="H11" s="9"/>
      <c r="I11" s="9"/>
    </row>
    <row r="12" customFormat="false" ht="15" hidden="false" customHeight="true" outlineLevel="0" collapsed="false">
      <c r="A12" s="10" t="s">
        <v>81</v>
      </c>
      <c r="B12" s="18"/>
      <c r="C12" s="18"/>
      <c r="D12" s="19" t="n">
        <f aca="false">D9</f>
        <v>3581.25</v>
      </c>
      <c r="E12" s="19" t="n">
        <f aca="false">E9</f>
        <v>4237.5</v>
      </c>
      <c r="F12" s="19" t="n">
        <f aca="false">F9</f>
        <v>4725</v>
      </c>
      <c r="G12" s="19" t="n">
        <f aca="false">G9</f>
        <v>5137.5</v>
      </c>
      <c r="H12" s="19" t="n">
        <f aca="false">H9</f>
        <v>5475</v>
      </c>
    </row>
    <row r="13" customFormat="false" ht="15" hidden="false" customHeight="true" outlineLevel="0" collapsed="false">
      <c r="A13" s="10" t="s">
        <v>82</v>
      </c>
      <c r="B13" s="18"/>
      <c r="C13" s="18"/>
      <c r="D13" s="19" t="n">
        <f aca="false">D5</f>
        <v>800</v>
      </c>
      <c r="E13" s="19" t="n">
        <f aca="false">E5</f>
        <v>850</v>
      </c>
      <c r="F13" s="19" t="n">
        <f aca="false">F5</f>
        <v>900</v>
      </c>
      <c r="G13" s="19" t="n">
        <f aca="false">G5</f>
        <v>950</v>
      </c>
      <c r="H13" s="19" t="n">
        <f aca="false">H5</f>
        <v>1000</v>
      </c>
    </row>
    <row r="14" customFormat="false" ht="15" hidden="false" customHeight="true" outlineLevel="0" collapsed="false">
      <c r="A14" s="10" t="s">
        <v>83</v>
      </c>
      <c r="B14" s="16" t="n">
        <v>-700</v>
      </c>
      <c r="C14" s="16" t="n">
        <v>-900</v>
      </c>
      <c r="D14" s="17" t="n">
        <v>-1200</v>
      </c>
      <c r="E14" s="17" t="n">
        <v>-1400</v>
      </c>
      <c r="F14" s="17" t="n">
        <v>-1300</v>
      </c>
      <c r="G14" s="17" t="n">
        <v>-1200</v>
      </c>
      <c r="H14" s="17" t="n">
        <v>-1100</v>
      </c>
    </row>
    <row r="15" customFormat="false" ht="15" hidden="false" customHeight="true" outlineLevel="0" collapsed="false">
      <c r="A15" s="10" t="s">
        <v>84</v>
      </c>
      <c r="B15" s="16" t="n">
        <v>-200</v>
      </c>
      <c r="C15" s="16" t="n">
        <v>-200</v>
      </c>
      <c r="D15" s="17" t="n">
        <v>-300</v>
      </c>
      <c r="E15" s="17" t="n">
        <v>-200</v>
      </c>
      <c r="F15" s="17" t="n">
        <v>-100</v>
      </c>
      <c r="G15" s="17" t="n">
        <v>-100</v>
      </c>
      <c r="H15" s="17" t="n">
        <v>-100</v>
      </c>
    </row>
    <row r="16" customFormat="false" ht="15" hidden="false" customHeight="true" outlineLevel="0" collapsed="false">
      <c r="A16" s="10" t="s">
        <v>85</v>
      </c>
      <c r="B16" s="18"/>
      <c r="C16" s="18"/>
      <c r="D16" s="19" t="n">
        <f aca="false">SUM(D12:D15)</f>
        <v>2881.25</v>
      </c>
      <c r="E16" s="19" t="n">
        <f aca="false">SUM(E12:E15)</f>
        <v>3487.5</v>
      </c>
      <c r="F16" s="19" t="n">
        <f aca="false">SUM(F12:F15)</f>
        <v>4225</v>
      </c>
      <c r="G16" s="19" t="n">
        <f aca="false">SUM(G12:G15)</f>
        <v>4787.5</v>
      </c>
      <c r="H16" s="19" t="n">
        <f aca="false">SUM(H12:H15)</f>
        <v>5275</v>
      </c>
    </row>
    <row r="17" customFormat="false" ht="15" hidden="false" customHeight="true" outlineLevel="0" collapsed="false">
      <c r="A17" s="18"/>
      <c r="B17" s="18"/>
      <c r="C17" s="18"/>
      <c r="D17" s="18"/>
      <c r="E17" s="18"/>
      <c r="F17" s="18"/>
      <c r="G17" s="18"/>
      <c r="H17" s="18"/>
      <c r="I17" s="18"/>
    </row>
    <row r="18" customFormat="false" ht="15" hidden="false" customHeight="true" outlineLevel="0" collapsed="false">
      <c r="A18" s="8" t="s">
        <v>86</v>
      </c>
      <c r="B18" s="9"/>
      <c r="C18" s="9"/>
      <c r="D18" s="9"/>
      <c r="E18" s="9"/>
      <c r="F18" s="9"/>
      <c r="G18" s="9"/>
      <c r="H18" s="9"/>
      <c r="I18" s="9"/>
    </row>
    <row r="19" customFormat="false" ht="15" hidden="false" customHeight="true" outlineLevel="0" collapsed="false">
      <c r="A19" s="10" t="s">
        <v>49</v>
      </c>
      <c r="B19" s="18"/>
      <c r="C19" s="18"/>
      <c r="D19" s="13" t="n">
        <f aca="false">Assumptions!B9</f>
        <v>0.080316</v>
      </c>
      <c r="E19" s="18"/>
      <c r="F19" s="18"/>
      <c r="G19" s="18"/>
      <c r="H19" s="18"/>
    </row>
    <row r="20" customFormat="false" ht="15" hidden="false" customHeight="true" outlineLevel="0" collapsed="false">
      <c r="A20" s="10" t="s">
        <v>87</v>
      </c>
      <c r="B20" s="18"/>
      <c r="C20" s="18"/>
      <c r="D20" s="21" t="n">
        <v>1</v>
      </c>
      <c r="E20" s="21" t="n">
        <v>2</v>
      </c>
      <c r="F20" s="21" t="n">
        <v>3</v>
      </c>
      <c r="G20" s="21" t="n">
        <v>4</v>
      </c>
      <c r="H20" s="21" t="n">
        <v>5</v>
      </c>
    </row>
    <row r="21" customFormat="false" ht="15" hidden="false" customHeight="true" outlineLevel="0" collapsed="false">
      <c r="A21" s="10" t="s">
        <v>88</v>
      </c>
      <c r="B21" s="18"/>
      <c r="C21" s="18"/>
      <c r="D21" s="22" t="n">
        <f aca="false">1/(1+$D$19)^D20</f>
        <v>0.925655086104436</v>
      </c>
      <c r="E21" s="22" t="n">
        <f aca="false">1/(1+$D$19)^E20</f>
        <v>0.856837338431011</v>
      </c>
      <c r="F21" s="22" t="n">
        <f aca="false">1/(1+$D$19)^F20</f>
        <v>0.793135840282853</v>
      </c>
      <c r="G21" s="22" t="n">
        <f aca="false">1/(1+$D$19)^G20</f>
        <v>0.734170224529539</v>
      </c>
      <c r="H21" s="22" t="n">
        <f aca="false">1/(1+$D$19)^H20</f>
        <v>0.679588402402203</v>
      </c>
    </row>
    <row r="22" customFormat="false" ht="15" hidden="false" customHeight="true" outlineLevel="0" collapsed="false">
      <c r="A22" s="10" t="s">
        <v>89</v>
      </c>
      <c r="B22" s="18"/>
      <c r="C22" s="18"/>
      <c r="D22" s="19" t="n">
        <f aca="false">D16*D21</f>
        <v>2667.04371683841</v>
      </c>
      <c r="E22" s="19" t="n">
        <f aca="false">E16*E21</f>
        <v>2988.22021777815</v>
      </c>
      <c r="F22" s="19" t="n">
        <f aca="false">F16*F21</f>
        <v>3350.99892519505</v>
      </c>
      <c r="G22" s="19" t="n">
        <f aca="false">G16*G21</f>
        <v>3514.83994993517</v>
      </c>
      <c r="H22" s="19" t="n">
        <f aca="false">H16*H21</f>
        <v>3584.82882267162</v>
      </c>
    </row>
    <row r="23" customFormat="false" ht="15" hidden="false" customHeight="true" outlineLevel="0" collapsed="false">
      <c r="A23" s="10" t="s">
        <v>90</v>
      </c>
      <c r="B23" s="18"/>
      <c r="C23" s="18"/>
      <c r="D23" s="19" t="n">
        <f aca="false">SUM(E22:I22)</f>
        <v>13438.88791558</v>
      </c>
      <c r="E23" s="18"/>
      <c r="F23" s="18"/>
      <c r="G23" s="18"/>
      <c r="H23" s="18"/>
    </row>
    <row r="24" customFormat="false" ht="15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15" hidden="false" customHeight="true" outlineLevel="0" collapsed="false">
      <c r="A25" s="8" t="s">
        <v>51</v>
      </c>
      <c r="B25" s="9"/>
      <c r="C25" s="9"/>
      <c r="D25" s="9"/>
      <c r="E25" s="9"/>
      <c r="F25" s="9"/>
      <c r="G25" s="9"/>
      <c r="H25" s="9"/>
      <c r="I25" s="9"/>
    </row>
    <row r="26" customFormat="false" ht="15" hidden="false" customHeight="true" outlineLevel="0" collapsed="false">
      <c r="A26" s="10" t="s">
        <v>52</v>
      </c>
      <c r="B26" s="18"/>
      <c r="C26" s="18"/>
      <c r="D26" s="13" t="n">
        <f aca="false">Assumptions!B11</f>
        <v>0.025</v>
      </c>
      <c r="E26" s="18"/>
      <c r="F26" s="18"/>
      <c r="G26" s="18"/>
      <c r="H26" s="18"/>
    </row>
    <row r="27" customFormat="false" ht="15" hidden="false" customHeight="true" outlineLevel="0" collapsed="false">
      <c r="A27" s="10" t="s">
        <v>91</v>
      </c>
      <c r="B27" s="18"/>
      <c r="C27" s="18"/>
      <c r="D27" s="19" t="n">
        <f aca="false">I16*(1+D26)</f>
        <v>0</v>
      </c>
      <c r="E27" s="18"/>
      <c r="F27" s="18"/>
      <c r="G27" s="18"/>
      <c r="H27" s="18"/>
    </row>
    <row r="28" customFormat="false" ht="15" hidden="false" customHeight="true" outlineLevel="0" collapsed="false">
      <c r="A28" s="10" t="s">
        <v>92</v>
      </c>
      <c r="B28" s="18"/>
      <c r="C28" s="18"/>
      <c r="D28" s="19" t="n">
        <f aca="false">D27/(D19-D26)</f>
        <v>0</v>
      </c>
      <c r="E28" s="18"/>
      <c r="F28" s="18"/>
      <c r="G28" s="18"/>
      <c r="H28" s="18"/>
    </row>
    <row r="29" customFormat="false" ht="15" hidden="false" customHeight="true" outlineLevel="0" collapsed="false">
      <c r="A29" s="10" t="s">
        <v>93</v>
      </c>
      <c r="B29" s="18"/>
      <c r="C29" s="18"/>
      <c r="D29" s="19" t="n">
        <f aca="false">D28*I21</f>
        <v>0</v>
      </c>
      <c r="E29" s="18"/>
      <c r="F29" s="18"/>
      <c r="G29" s="18"/>
      <c r="H29" s="18"/>
    </row>
    <row r="30" customFormat="false" ht="15" hidden="false" customHeight="true" outlineLevel="0" collapsed="false">
      <c r="A30" s="18"/>
      <c r="B30" s="18"/>
      <c r="C30" s="18"/>
      <c r="D30" s="18"/>
      <c r="E30" s="18"/>
      <c r="F30" s="18"/>
      <c r="G30" s="18"/>
      <c r="H30" s="18"/>
      <c r="I30" s="18"/>
    </row>
    <row r="31" customFormat="false" ht="15" hidden="false" customHeight="true" outlineLevel="0" collapsed="false">
      <c r="A31" s="8" t="s">
        <v>94</v>
      </c>
      <c r="B31" s="9"/>
      <c r="C31" s="9"/>
      <c r="D31" s="9"/>
      <c r="E31" s="9"/>
      <c r="F31" s="9"/>
      <c r="G31" s="9"/>
      <c r="H31" s="9"/>
      <c r="I31" s="9"/>
    </row>
    <row r="32" customFormat="false" ht="15" hidden="false" customHeight="true" outlineLevel="0" collapsed="false">
      <c r="A32" s="10" t="s">
        <v>95</v>
      </c>
      <c r="B32" s="18"/>
      <c r="C32" s="18"/>
      <c r="D32" s="19" t="n">
        <f aca="false">D23</f>
        <v>13438.88791558</v>
      </c>
      <c r="E32" s="18"/>
      <c r="F32" s="18"/>
      <c r="G32" s="18"/>
      <c r="H32" s="18"/>
    </row>
    <row r="33" customFormat="false" ht="15" hidden="false" customHeight="true" outlineLevel="0" collapsed="false">
      <c r="A33" s="10" t="s">
        <v>93</v>
      </c>
      <c r="B33" s="18"/>
      <c r="C33" s="18"/>
      <c r="D33" s="19" t="n">
        <f aca="false">D29</f>
        <v>0</v>
      </c>
      <c r="E33" s="18"/>
      <c r="F33" s="18"/>
      <c r="G33" s="18"/>
      <c r="H33" s="18"/>
    </row>
    <row r="34" customFormat="false" ht="15" hidden="false" customHeight="true" outlineLevel="0" collapsed="false">
      <c r="A34" s="10" t="s">
        <v>96</v>
      </c>
      <c r="B34" s="18"/>
      <c r="C34" s="18"/>
      <c r="D34" s="19" t="n">
        <f aca="false">D32+D33</f>
        <v>13438.88791558</v>
      </c>
      <c r="E34" s="18"/>
      <c r="F34" s="18"/>
      <c r="G34" s="18"/>
      <c r="H34" s="18"/>
    </row>
    <row r="35" customFormat="false" ht="15" hidden="false" customHeight="true" outlineLevel="0" collapsed="false">
      <c r="A35" s="10" t="s">
        <v>97</v>
      </c>
      <c r="B35" s="18"/>
      <c r="C35" s="18"/>
      <c r="D35" s="17" t="n">
        <v>-27000</v>
      </c>
      <c r="E35" s="18"/>
      <c r="F35" s="18"/>
      <c r="G35" s="18"/>
      <c r="H35" s="18"/>
    </row>
    <row r="36" customFormat="false" ht="15" hidden="false" customHeight="true" outlineLevel="0" collapsed="false">
      <c r="A36" s="10" t="s">
        <v>98</v>
      </c>
      <c r="B36" s="18"/>
      <c r="C36" s="18"/>
      <c r="D36" s="17" t="n">
        <v>-2500</v>
      </c>
      <c r="E36" s="18"/>
      <c r="F36" s="18"/>
      <c r="G36" s="18"/>
      <c r="H36" s="18"/>
    </row>
    <row r="37" customFormat="false" ht="15" hidden="false" customHeight="true" outlineLevel="0" collapsed="false">
      <c r="A37" s="10" t="s">
        <v>99</v>
      </c>
      <c r="B37" s="18"/>
      <c r="C37" s="18"/>
      <c r="D37" s="19" t="n">
        <f aca="false">D34+D35+D36</f>
        <v>-16061.11208442</v>
      </c>
      <c r="E37" s="18"/>
      <c r="F37" s="18"/>
      <c r="G37" s="18"/>
      <c r="H37" s="18"/>
    </row>
    <row r="38" customFormat="false" ht="15" hidden="false" customHeight="true" outlineLevel="0" collapsed="false">
      <c r="A38" s="10" t="s">
        <v>59</v>
      </c>
      <c r="B38" s="18"/>
      <c r="C38" s="18"/>
      <c r="D38" s="23" t="n">
        <f aca="false">Assumptions!B15</f>
        <v>200</v>
      </c>
      <c r="E38" s="18"/>
      <c r="F38" s="18"/>
      <c r="G38" s="18"/>
      <c r="H38" s="18"/>
    </row>
    <row r="39" customFormat="false" ht="15" hidden="false" customHeight="true" outlineLevel="0" collapsed="false">
      <c r="A39" s="10" t="s">
        <v>100</v>
      </c>
      <c r="B39" s="18"/>
      <c r="C39" s="18"/>
      <c r="D39" s="24" t="n">
        <f aca="false">D37/D38</f>
        <v>-80.3055604221</v>
      </c>
      <c r="E39" s="18"/>
      <c r="F39" s="18"/>
      <c r="G39" s="18"/>
      <c r="H39" s="18"/>
    </row>
    <row r="40" customFormat="false" ht="15" hidden="false" customHeight="true" outlineLevel="0" collapsed="false">
      <c r="A40" s="18"/>
      <c r="B40" s="18"/>
      <c r="C40" s="18"/>
      <c r="D40" s="18"/>
      <c r="E40" s="18"/>
      <c r="F40" s="18"/>
      <c r="G40" s="18"/>
      <c r="H40" s="18"/>
      <c r="I40" s="18"/>
    </row>
    <row r="41" customFormat="false" ht="15" hidden="false" customHeight="true" outlineLevel="0" collapsed="false">
      <c r="A41" s="8" t="s">
        <v>101</v>
      </c>
      <c r="B41" s="9"/>
      <c r="C41" s="9"/>
      <c r="D41" s="9"/>
      <c r="E41" s="9"/>
      <c r="F41" s="9"/>
      <c r="G41" s="9"/>
      <c r="H41" s="9"/>
      <c r="I41" s="9"/>
    </row>
    <row r="42" customFormat="false" ht="15" hidden="false" customHeight="true" outlineLevel="0" collapsed="false">
      <c r="A42" s="10" t="s">
        <v>102</v>
      </c>
      <c r="D42" s="15" t="n">
        <v>6000</v>
      </c>
    </row>
    <row r="43" customFormat="false" ht="15" hidden="false" customHeight="true" outlineLevel="0" collapsed="false">
      <c r="A43" s="10" t="s">
        <v>103</v>
      </c>
      <c r="D43" s="15" t="n">
        <v>2500</v>
      </c>
    </row>
    <row r="44" customFormat="false" ht="15" hidden="false" customHeight="true" outlineLevel="0" collapsed="false">
      <c r="A44" s="10" t="s">
        <v>104</v>
      </c>
      <c r="D44" s="15" t="n">
        <v>20</v>
      </c>
    </row>
    <row r="45" customFormat="false" ht="15" hidden="false" customHeight="true" outlineLevel="0" collapsed="false">
      <c r="A45" s="10" t="s">
        <v>105</v>
      </c>
      <c r="D45" s="19" t="n">
        <f aca="false">D43*(1-(1/(1+D19)^D44))/D19</f>
        <v>24487.7561131919</v>
      </c>
    </row>
    <row r="46" customFormat="false" ht="15" hidden="false" customHeight="true" outlineLevel="0" collapsed="false">
      <c r="A46" s="10" t="s">
        <v>106</v>
      </c>
      <c r="D46" s="25" t="n">
        <f aca="false">D45/D38</f>
        <v>122.43878056596</v>
      </c>
    </row>
    <row r="47" customFormat="false" ht="15" hidden="false" customHeight="true" outlineLevel="0" collapsed="false">
      <c r="A47" s="10" t="s">
        <v>107</v>
      </c>
      <c r="B47" s="18"/>
      <c r="C47" s="18"/>
      <c r="D47" s="24" t="n">
        <f aca="false">D39+D46</f>
        <v>42.1332201438596</v>
      </c>
      <c r="E47" s="18"/>
      <c r="F47" s="18"/>
      <c r="G47" s="18"/>
      <c r="H47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6" min="2" style="1" width="12"/>
  </cols>
  <sheetData>
    <row r="1" customFormat="false" ht="15" hidden="false" customHeight="true" outlineLevel="0" collapsed="false">
      <c r="A1" s="7" t="s">
        <v>108</v>
      </c>
      <c r="B1" s="7" t="s">
        <v>109</v>
      </c>
      <c r="C1" s="7" t="s">
        <v>110</v>
      </c>
      <c r="D1" s="7" t="s">
        <v>27</v>
      </c>
      <c r="E1" s="7" t="s">
        <v>111</v>
      </c>
      <c r="F1" s="7" t="s">
        <v>112</v>
      </c>
    </row>
    <row r="2" customFormat="false" ht="15" hidden="false" customHeight="true" outlineLevel="0" collapsed="false">
      <c r="A2" s="7" t="s">
        <v>113</v>
      </c>
      <c r="B2" s="26" t="n">
        <v>98</v>
      </c>
      <c r="C2" s="26" t="n">
        <v>115</v>
      </c>
      <c r="D2" s="26" t="n">
        <v>134</v>
      </c>
      <c r="E2" s="27" t="n">
        <v>158</v>
      </c>
      <c r="F2" s="27" t="n">
        <v>186</v>
      </c>
    </row>
    <row r="3" customFormat="false" ht="15" hidden="false" customHeight="true" outlineLevel="0" collapsed="false">
      <c r="A3" s="7" t="s">
        <v>114</v>
      </c>
      <c r="B3" s="26" t="n">
        <v>81</v>
      </c>
      <c r="C3" s="26" t="n">
        <v>95</v>
      </c>
      <c r="D3" s="26" t="n">
        <v>111</v>
      </c>
      <c r="E3" s="26" t="n">
        <v>130</v>
      </c>
      <c r="F3" s="27" t="n">
        <v>153</v>
      </c>
    </row>
    <row r="4" customFormat="false" ht="15" hidden="false" customHeight="true" outlineLevel="0" collapsed="false">
      <c r="A4" s="7" t="s">
        <v>25</v>
      </c>
      <c r="B4" s="26" t="n">
        <v>54</v>
      </c>
      <c r="C4" s="26" t="n">
        <v>64</v>
      </c>
      <c r="D4" s="26" t="n">
        <v>75</v>
      </c>
      <c r="E4" s="26" t="n">
        <v>89</v>
      </c>
      <c r="F4" s="26" t="n">
        <v>104</v>
      </c>
    </row>
    <row r="5" customFormat="false" ht="15" hidden="false" customHeight="true" outlineLevel="0" collapsed="false">
      <c r="A5" s="7" t="s">
        <v>115</v>
      </c>
      <c r="B5" s="26" t="n">
        <v>42</v>
      </c>
      <c r="C5" s="26" t="n">
        <v>51</v>
      </c>
      <c r="D5" s="26" t="n">
        <v>61</v>
      </c>
      <c r="E5" s="26" t="n">
        <v>72</v>
      </c>
      <c r="F5" s="26" t="n">
        <v>86</v>
      </c>
    </row>
    <row r="6" customFormat="false" ht="15" hidden="false" customHeight="true" outlineLevel="0" collapsed="false">
      <c r="A6" s="7" t="s">
        <v>116</v>
      </c>
      <c r="B6" s="26" t="n">
        <v>23</v>
      </c>
      <c r="C6" s="26" t="n">
        <v>30</v>
      </c>
      <c r="D6" s="26" t="n">
        <v>38</v>
      </c>
      <c r="E6" s="26" t="n">
        <v>46</v>
      </c>
      <c r="F6" s="26" t="n">
        <v>56</v>
      </c>
    </row>
    <row r="9" customFormat="false" ht="15" hidden="false" customHeight="true" outlineLevel="0" collapsed="false">
      <c r="A9" s="6" t="s">
        <v>117</v>
      </c>
    </row>
    <row r="10" customFormat="false" ht="15" hidden="false" customHeight="true" outlineLevel="0" collapsed="false">
      <c r="A10" s="6" t="s">
        <v>118</v>
      </c>
    </row>
    <row r="11" customFormat="false" ht="15" hidden="false" customHeight="true" outlineLevel="0" collapsed="false">
      <c r="A11" s="6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2026-06-03T22:35:20Z</dcterms:created>
  <dc:creator>openpyxl</dc:creator>
  <dc:description/>
  <dc:language>en-US</dc:language>
  <cp:lastModifiedBy/>
  <dcterms:modified xsi:type="dcterms:W3CDTF">2026-06-03T22:36:02Z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