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 Model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<sst xmlns="http://schemas.openxmlformats.org/spreadsheetml/2006/main" count="122" uniqueCount="117">
  <si>
    <t xml:space="preserve">Vistra Corp. (NYSE: VST)</t>
  </si>
  <si>
    <t xml:space="preserve">Discounted Cash Flow Valuation Model</t>
  </si>
  <si>
    <t xml:space="preserve">Version 1 — June 3, 2026</t>
  </si>
  <si>
    <t xml:space="preserve">Rating</t>
  </si>
  <si>
    <t xml:space="preserve">Buy</t>
  </si>
  <si>
    <t xml:space="preserve">Price Target</t>
  </si>
  <si>
    <t xml:space="preserve">$230</t>
  </si>
  <si>
    <t xml:space="preserve">Current Price (Jun 3, 2026)</t>
  </si>
  <si>
    <t xml:space="preserve">$153.80</t>
  </si>
  <si>
    <t xml:space="preserve">Market Cap</t>
  </si>
  <si>
    <t xml:space="preserve">~$52B</t>
  </si>
  <si>
    <t xml:space="preserve">Net Debt (Q1'26)</t>
  </si>
  <si>
    <t xml:space="preserve">~$19.2B</t>
  </si>
  <si>
    <t xml:space="preserve">2026E Adj EBITDA (guidance midpoint)</t>
  </si>
  <si>
    <t xml:space="preserve">$7.2B</t>
  </si>
  <si>
    <t xml:space="preserve">WACC</t>
  </si>
  <si>
    <t xml:space="preserve">9.5%</t>
  </si>
  <si>
    <t xml:space="preserve">Terminal Growth Rate</t>
  </si>
  <si>
    <t xml:space="preserve">2.5%</t>
  </si>
  <si>
    <t xml:space="preserve">Analyst Consensus PT (mean)</t>
  </si>
  <si>
    <t xml:space="preserve">$228</t>
  </si>
  <si>
    <t xml:space="preserve">Analyst Consensus Rating</t>
  </si>
  <si>
    <t xml:space="preserve">Buy (20 Buy / 2 Hold / 0 Sell)</t>
  </si>
  <si>
    <t xml:space="preserve">Data sources: Bigdata.com (company tearsheet D64EDF), VST Q1'26 SEC filings, management guidance</t>
  </si>
  <si>
    <t xml:space="preserve">Powered by Bigdata.com — https://bigdata.com</t>
  </si>
  <si>
    <t xml:space="preserve">Category</t>
  </si>
  <si>
    <t xml:space="preserve">Value</t>
  </si>
  <si>
    <t xml:space="preserve">Source / Notes</t>
  </si>
  <si>
    <t xml:space="preserve">WACC Components</t>
  </si>
  <si>
    <t xml:space="preserve">  Risk-Free Rate (10Y UST)</t>
  </si>
  <si>
    <t xml:space="preserve">Source: Market, June 2026</t>
  </si>
  <si>
    <t xml:space="preserve">  Equity Risk Premium</t>
  </si>
  <si>
    <t xml:space="preserve">Damodaran US ERP</t>
  </si>
  <si>
    <t xml:space="preserve">  Beta (levered)</t>
  </si>
  <si>
    <t xml:space="preserve">Source: Bigdata.com tearsheet</t>
  </si>
  <si>
    <t xml:space="preserve">  Cost of Equity</t>
  </si>
  <si>
    <t xml:space="preserve">CAPM: Rf + Beta × ERP</t>
  </si>
  <si>
    <t xml:space="preserve">  After-tax Cost of Debt</t>
  </si>
  <si>
    <t xml:space="preserve">IG-rated debt; ~6% coupon, 25% tax</t>
  </si>
  <si>
    <t xml:space="preserve">  Debt Weight (% of cap)</t>
  </si>
  <si>
    <t xml:space="preserve">~$19B debt / ~$35B total cap</t>
  </si>
  <si>
    <t xml:space="preserve">  WACC</t>
  </si>
  <si>
    <t xml:space="preserve">Weighted avg cost of capital</t>
  </si>
  <si>
    <t xml:space="preserve">Terminal Value</t>
  </si>
  <si>
    <t xml:space="preserve">  Terminal Growth Rate</t>
  </si>
  <si>
    <t xml:space="preserve">Long-run nominal GDP growth</t>
  </si>
  <si>
    <t xml:space="preserve">  Terminal EBITDA Multiple (sanity check)</t>
  </si>
  <si>
    <t xml:space="preserve">Regulated utility comp at maturity</t>
  </si>
  <si>
    <t xml:space="preserve">Valuation Date</t>
  </si>
  <si>
    <t xml:space="preserve">  Valuation Date</t>
  </si>
  <si>
    <t xml:space="preserve">June 3, 2026</t>
  </si>
  <si>
    <t xml:space="preserve">  Shares Outstanding (diluted, M)</t>
  </si>
  <si>
    <t xml:space="preserve">Source: Q1'26 10-Q</t>
  </si>
  <si>
    <t xml:space="preserve">  Net Debt (Q1'26, $B)</t>
  </si>
  <si>
    <t xml:space="preserve">Source: Q1'26 balance sheet</t>
  </si>
  <si>
    <t xml:space="preserve">  Preferred Stock ($B)</t>
  </si>
  <si>
    <t xml:space="preserve">Series A preferred, Source: 10-Q</t>
  </si>
  <si>
    <t xml:space="preserve">Capital Allocation</t>
  </si>
  <si>
    <t xml:space="preserve">  Annual Buyback ($M)</t>
  </si>
  <si>
    <t xml:space="preserve">Conservative; management guided $2B 2025-2026</t>
  </si>
  <si>
    <t xml:space="preserve">  Annual Dividend ($M)</t>
  </si>
  <si>
    <t xml:space="preserve">~$0.89/share × 340M shares</t>
  </si>
  <si>
    <t xml:space="preserve">($M unless noted)</t>
  </si>
  <si>
    <t xml:space="preserve">2023A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</si>
  <si>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</si>
  <si>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</si>
  <si>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</si>
  <si>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</si>
  <si>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</si>
  <si>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</si>
  <si>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</si>
  <si>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INCOME STATEMENT</t>
  </si>
  <si>
    <t xml:space="preserve">  Revenue</t>
  </si>
  <si>
    <t xml:space="preserve">  YoY Growth</t>
  </si>
  <si>
    <t xml:space="preserve">  Adj. EBITDA</t>
  </si>
  <si>
    <t xml:space="preserve">  EBITDA Margin</t>
  </si>
  <si>
    <t xml:space="preserve">  D&amp;A</t>
  </si>
  <si>
    <t xml:space="preserve">  EBIT</t>
  </si>
  <si>
    <t xml:space="preserve">  Interest Expense</t>
  </si>
  <si>
    <t xml:space="preserve">  Tax Rate</t>
  </si>
  <si>
    <t xml:space="preserve">  NOPAT (after-tax EBIT)</t>
  </si>
  <si>
    <t xml:space="preserve">FREE CASH FLOW</t>
  </si>
  <si>
    <t xml:space="preserve">  NOPAT</t>
  </si>
  <si>
    <t xml:space="preserve">  + D&amp;A</t>
  </si>
  <si>
    <t xml:space="preserve">  - CapEx</t>
  </si>
  <si>
    <t xml:space="preserve">  - Change in Working Capital</t>
  </si>
  <si>
    <t xml:space="preserve">  Unlevered FCF (UFCF)</t>
  </si>
  <si>
    <t xml:space="preserve">DCF CALCULATION</t>
  </si>
  <si>
    <t xml:space="preserve">  Year</t>
  </si>
  <si>
    <t xml:space="preserve">  Discount Factor</t>
  </si>
  <si>
    <t xml:space="preserve">  PV of UFCF</t>
  </si>
  <si>
    <t xml:space="preserve">  Sum of PV (UFCF)</t>
  </si>
  <si>
    <t xml:space="preserve">TERMINAL VALUE</t>
  </si>
  <si>
    <t xml:space="preserve">  Terminal Growth Rate (g)</t>
  </si>
  <si>
    <t xml:space="preserve">  Terminal UFCF (normalized)</t>
  </si>
  <si>
    <t xml:space="preserve">  Terminal Value (Gordon Growth)</t>
  </si>
  <si>
    <t xml:space="preserve">  PV of Terminal Value</t>
  </si>
  <si>
    <t xml:space="preserve">ENTERPRISE VALUE</t>
  </si>
  <si>
    <t xml:space="preserve">  PV of Explicit FCFs</t>
  </si>
  <si>
    <t xml:space="preserve">  Enterprise Value</t>
  </si>
  <si>
    <t xml:space="preserve">EQUITY BRIDGE</t>
  </si>
  <si>
    <t xml:space="preserve">  - Net Debt</t>
  </si>
  <si>
    <t xml:space="preserve">  - Preferred Stock</t>
  </si>
  <si>
    <t xml:space="preserve">  Equity Value ($M)</t>
  </si>
  <si>
    <t xml:space="preserve">  Shares Outstanding (M)</t>
  </si>
  <si>
    <t xml:space="preserve">  Implied Share Price</t>
  </si>
  <si>
    <t xml:space="preserve">Implied Price (WACC \ g)</t>
  </si>
  <si>
    <t xml:space="preserve">1.5%</t>
  </si>
  <si>
    <t xml:space="preserve">2.0%</t>
  </si>
  <si>
    <t xml:space="preserve">3.0%</t>
  </si>
  <si>
    <t xml:space="preserve">3.5%</t>
  </si>
  <si>
    <t xml:space="preserve">8.5%</t>
  </si>
  <si>
    <t xml:space="preserve">9.0%</t>
  </si>
  <si>
    <t xml:space="preserve">10.0%</t>
  </si>
  <si>
    <t xml:space="preserve">10.5%</t>
  </si>
  <si>
    <t xml:space="preserve">Green = within $30 of base PT ($230)  |  Yellow = Bull case (&gt;$280)</t>
  </si>
  <si>
    <t xml:space="preserve">Base assumptions: WACC 9.5%, g 2.5%, Normalized UFCF $5.5B, Net Debt+Pfd $21.7B, 340M shares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</si>
</sst>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;\(0.0%\);\-"/>
    <numFmt numFmtId="166" formatCode="0.00"/>
    <numFmt numFmtId="167" formatCode="0.0%"/>
    <numFmt numFmtId="168" formatCode="0.0\x"/>
    <numFmt numFmtId="169" formatCode="#,##0;\(#,##0\);\-"/>
    <numFmt numFmtId="170" formatCode="#,##0.0;\(#,##0.0\);\-"/>
    <numFmt numFmtId="171" formatCode="#,##0;\(#,##0\);\-"/>
    <numFmt numFmtId="172" formatCode="#,##0"/>
    <numFmt numFmtId="173" formatCode="0.0000"/>
    <numFmt numFmtId="174" formatCode="#,##0.0;\(#,##0.0\);\-"/>
    <numFmt numFmtId="175" formatCode="\$#,##0.00"/>
    <numFmt numFmtId="176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15" hidden="false" customHeight="true" outlineLevel="0" collapsed="false">
      <c r="A8" s="5" t="s">
        <v>9</v>
      </c>
      <c r="B8" s="6" t="s">
        <v>10</v>
      </c>
    </row>
    <row r="9" customFormat="false" ht="15" hidden="false" customHeight="true" outlineLevel="0" collapsed="false">
      <c r="A9" s="5" t="s">
        <v>11</v>
      </c>
      <c r="B9" s="6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1" customFormat="false" ht="15" hidden="false" customHeight="true" outlineLevel="0" collapsed="false">
      <c r="A11" s="5" t="s">
        <v>15</v>
      </c>
      <c r="B11" s="6" t="s">
        <v>16</v>
      </c>
    </row>
    <row r="12" customFormat="false" ht="15" hidden="false" customHeight="true" outlineLevel="0" collapsed="false">
      <c r="A12" s="5" t="s">
        <v>17</v>
      </c>
      <c r="B12" s="6" t="s">
        <v>18</v>
      </c>
    </row>
    <row r="13" customFormat="false" ht="15" hidden="false" customHeight="true" outlineLevel="0" collapsed="false">
      <c r="A13" s="5" t="s">
        <v>19</v>
      </c>
      <c r="B13" s="6" t="s">
        <v>20</v>
      </c>
    </row>
    <row r="14" customFormat="false" ht="15" hidden="false" customHeight="true" outlineLevel="0" collapsed="false">
      <c r="A14" s="5" t="s">
        <v>21</v>
      </c>
      <c r="B14" s="6" t="s">
        <v>22</v>
      </c>
    </row>
    <row r="16" customFormat="false" ht="15" hidden="false" customHeight="true" outlineLevel="0" collapsed="false">
      <c r="A16" s="7" t="s">
        <v>23</v>
      </c>
    </row>
    <row r="17" customFormat="false" ht="15" hidden="false" customHeight="true" outlineLevel="0" collapsed="false">
      <c r="A17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5" hidden="false" customHeight="true" outlineLevel="0" collapsed="false">
      <c r="A1" s="8" t="s">
        <v>25</v>
      </c>
      <c r="B1" s="8" t="s">
        <v>26</v>
      </c>
      <c r="C1" s="8" t="s">
        <v>27</v>
      </c>
    </row>
    <row r="2" customFormat="false" ht="15" hidden="false" customHeight="true" outlineLevel="0" collapsed="false">
      <c r="A2" s="9" t="s">
        <v>28</v>
      </c>
      <c r="B2" s="10"/>
      <c r="C2" s="10"/>
    </row>
    <row r="3" customFormat="false" ht="15" hidden="false" customHeight="true" outlineLevel="0" collapsed="false">
      <c r="A3" s="11" t="s">
        <v>29</v>
      </c>
      <c r="B3" s="12" t="n">
        <v>0.043</v>
      </c>
      <c r="C3" s="11" t="s">
        <v>30</v>
      </c>
    </row>
    <row r="4" customFormat="false" ht="15" hidden="false" customHeight="true" outlineLevel="0" collapsed="false">
      <c r="A4" s="11" t="s">
        <v>31</v>
      </c>
      <c r="B4" s="12" t="n">
        <v>0.055</v>
      </c>
      <c r="C4" s="11" t="s">
        <v>32</v>
      </c>
    </row>
    <row r="5" customFormat="false" ht="15" hidden="false" customHeight="true" outlineLevel="0" collapsed="false">
      <c r="A5" s="11" t="s">
        <v>33</v>
      </c>
      <c r="B5" s="13" t="n">
        <v>1.45</v>
      </c>
      <c r="C5" s="11" t="s">
        <v>34</v>
      </c>
    </row>
    <row r="6" customFormat="false" ht="15" hidden="false" customHeight="true" outlineLevel="0" collapsed="false">
      <c r="A6" s="11" t="s">
        <v>35</v>
      </c>
      <c r="B6" s="14" t="n">
        <f aca="false">B3+(B5*B4)</f>
        <v>0.12275</v>
      </c>
      <c r="C6" s="11" t="s">
        <v>36</v>
      </c>
    </row>
    <row r="7" customFormat="false" ht="15" hidden="false" customHeight="true" outlineLevel="0" collapsed="false">
      <c r="A7" s="11" t="s">
        <v>37</v>
      </c>
      <c r="B7" s="12" t="n">
        <v>0.045</v>
      </c>
      <c r="C7" s="11" t="s">
        <v>38</v>
      </c>
    </row>
    <row r="8" customFormat="false" ht="15" hidden="false" customHeight="true" outlineLevel="0" collapsed="false">
      <c r="A8" s="11" t="s">
        <v>39</v>
      </c>
      <c r="B8" s="12" t="n">
        <v>0.55</v>
      </c>
      <c r="C8" s="11" t="s">
        <v>40</v>
      </c>
    </row>
    <row r="9" customFormat="false" ht="15" hidden="false" customHeight="true" outlineLevel="0" collapsed="false">
      <c r="A9" s="11" t="s">
        <v>41</v>
      </c>
      <c r="B9" s="14" t="n">
        <f aca="false">B6*(1-B8)+B7*B8</f>
        <v>0.0799875</v>
      </c>
      <c r="C9" s="11" t="s">
        <v>42</v>
      </c>
    </row>
    <row r="10" customFormat="false" ht="15" hidden="false" customHeight="true" outlineLevel="0" collapsed="false">
      <c r="A10" s="9" t="s">
        <v>43</v>
      </c>
      <c r="B10" s="10"/>
      <c r="C10" s="10"/>
    </row>
    <row r="11" customFormat="false" ht="15" hidden="false" customHeight="true" outlineLevel="0" collapsed="false">
      <c r="A11" s="11" t="s">
        <v>44</v>
      </c>
      <c r="B11" s="12" t="n">
        <v>0.025</v>
      </c>
      <c r="C11" s="11" t="s">
        <v>45</v>
      </c>
    </row>
    <row r="12" customFormat="false" ht="15" hidden="false" customHeight="true" outlineLevel="0" collapsed="false">
      <c r="A12" s="11" t="s">
        <v>46</v>
      </c>
      <c r="B12" s="15" t="n">
        <v>12</v>
      </c>
      <c r="C12" s="11" t="s">
        <v>47</v>
      </c>
    </row>
    <row r="13" customFormat="false" ht="15" hidden="false" customHeight="true" outlineLevel="0" collapsed="false">
      <c r="A13" s="9" t="s">
        <v>48</v>
      </c>
      <c r="B13" s="10"/>
      <c r="C13" s="10"/>
    </row>
    <row r="14" customFormat="false" ht="15" hidden="false" customHeight="true" outlineLevel="0" collapsed="false">
      <c r="A14" s="11" t="s">
        <v>49</v>
      </c>
      <c r="B14" s="16" t="s">
        <v>50</v>
      </c>
      <c r="C14" s="11"/>
    </row>
    <row r="15" customFormat="false" ht="15" hidden="false" customHeight="true" outlineLevel="0" collapsed="false">
      <c r="A15" s="11" t="s">
        <v>51</v>
      </c>
      <c r="B15" s="17" t="n">
        <v>340</v>
      </c>
      <c r="C15" s="11" t="s">
        <v>52</v>
      </c>
    </row>
    <row r="16" customFormat="false" ht="15" hidden="false" customHeight="true" outlineLevel="0" collapsed="false">
      <c r="A16" s="11" t="s">
        <v>53</v>
      </c>
      <c r="B16" s="18" t="n">
        <v>19.2</v>
      </c>
      <c r="C16" s="11" t="s">
        <v>54</v>
      </c>
    </row>
    <row r="17" customFormat="false" ht="15" hidden="false" customHeight="true" outlineLevel="0" collapsed="false">
      <c r="A17" s="11" t="s">
        <v>55</v>
      </c>
      <c r="B17" s="18" t="n">
        <v>2.5</v>
      </c>
      <c r="C17" s="11" t="s">
        <v>56</v>
      </c>
    </row>
    <row r="18" customFormat="false" ht="15" hidden="false" customHeight="true" outlineLevel="0" collapsed="false">
      <c r="A18" s="9" t="s">
        <v>57</v>
      </c>
      <c r="B18" s="10"/>
      <c r="C18" s="10"/>
    </row>
    <row r="19" customFormat="false" ht="15" hidden="false" customHeight="true" outlineLevel="0" collapsed="false">
      <c r="A19" s="11" t="s">
        <v>58</v>
      </c>
      <c r="B19" s="17" t="n">
        <v>400</v>
      </c>
      <c r="C19" s="11" t="s">
        <v>59</v>
      </c>
    </row>
    <row r="20" customFormat="false" ht="15" hidden="false" customHeight="true" outlineLevel="0" collapsed="false">
      <c r="A20" s="11" t="s">
        <v>60</v>
      </c>
      <c r="B20" s="17" t="n">
        <v>300</v>
      </c>
      <c r="C20" s="1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3"/>
  </cols>
  <sheetData>
    <row r="1" customFormat="false" ht="15" hidden="false" customHeight="true" outlineLevel="0" collapsed="false">
      <c r="A1" s="8" t="s">
        <v>62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  <c r="I1" s="8" t="s">
        <v>70</v>
      </c>
    </row>
    <row r="2" customFormat="false" ht="15" hidden="false" customHeight="true" outlineLevel="0" collapsed="false">
      <c r="A2" s="9" t="s">
        <v>71</v>
      </c>
      <c r="B2" s="19"/>
      <c r="C2" s="19"/>
      <c r="D2" s="19"/>
      <c r="E2" s="19"/>
      <c r="F2" s="19"/>
      <c r="G2" s="19"/>
      <c r="H2" s="19"/>
      <c r="I2" s="19"/>
    </row>
    <row r="3" customFormat="false" ht="15" hidden="false" customHeight="true" outlineLevel="0" collapsed="false">
      <c r="A3" s="11" t="s">
        <v>72</v>
      </c>
      <c r="B3" s="17" t="n">
        <v>14100</v>
      </c>
      <c r="C3" s="17" t="n">
        <v>20700</v>
      </c>
      <c r="D3" s="17" t="n">
        <v>16730</v>
      </c>
      <c r="E3" s="17" t="n">
        <v>45000</v>
      </c>
      <c r="F3" s="17" t="n">
        <v>52000</v>
      </c>
      <c r="G3" s="17" t="n">
        <v>58000</v>
      </c>
      <c r="H3" s="17" t="n">
        <v>63000</v>
      </c>
      <c r="I3" s="17" t="n">
        <v>68000</v>
      </c>
    </row>
    <row r="4" customFormat="false" ht="15" hidden="false" customHeight="true" outlineLevel="0" collapsed="false">
      <c r="A4" s="11" t="s">
        <v>73</v>
      </c>
      <c r="B4" s="10"/>
      <c r="C4" s="10"/>
      <c r="D4" s="10"/>
      <c r="E4" s="10"/>
      <c r="F4" s="20" t="n">
        <f aca="false">(C3-B3)/B3</f>
        <v>0.468085106382979</v>
      </c>
      <c r="G4" s="20" t="n">
        <f aca="false">(D3-C3)/C3</f>
        <v>-0.191787439613527</v>
      </c>
      <c r="H4" s="20" t="n">
        <f aca="false">(E3-D3)/D3</f>
        <v>1.68977884040646</v>
      </c>
      <c r="I4" s="20" t="n">
        <f aca="false">(F3-E3)/E3</f>
        <v>0.155555555555556</v>
      </c>
    </row>
    <row r="5" customFormat="false" ht="15" hidden="false" customHeight="true" outlineLevel="0" collapsed="false">
      <c r="A5" s="11" t="s">
        <v>74</v>
      </c>
      <c r="B5" s="17" t="n">
        <v>3200</v>
      </c>
      <c r="C5" s="17" t="n">
        <v>5700</v>
      </c>
      <c r="D5" s="17" t="n">
        <v>4900</v>
      </c>
      <c r="E5" s="17" t="n">
        <v>7200</v>
      </c>
      <c r="F5" s="17" t="n">
        <v>8500</v>
      </c>
      <c r="G5" s="17" t="n">
        <v>9500</v>
      </c>
      <c r="H5" s="17" t="n">
        <v>10000</v>
      </c>
      <c r="I5" s="17" t="n">
        <v>10500</v>
      </c>
    </row>
    <row r="6" customFormat="false" ht="15" hidden="false" customHeight="true" outlineLevel="0" collapsed="false">
      <c r="A6" s="11" t="s">
        <v>75</v>
      </c>
      <c r="B6" s="10"/>
      <c r="C6" s="10"/>
      <c r="D6" s="10"/>
      <c r="E6" s="20" t="n">
        <f aca="false">E5/E3</f>
        <v>0.16</v>
      </c>
      <c r="F6" s="20" t="n">
        <f aca="false">F5/F3</f>
        <v>0.163461538461538</v>
      </c>
      <c r="G6" s="20" t="n">
        <f aca="false">G5/G3</f>
        <v>0.163793103448276</v>
      </c>
      <c r="H6" s="20" t="n">
        <f aca="false">H5/H3</f>
        <v>0.158730158730159</v>
      </c>
      <c r="I6" s="20" t="n">
        <f aca="false">I5/I3</f>
        <v>0.154411764705882</v>
      </c>
    </row>
    <row r="7" customFormat="false" ht="15" hidden="false" customHeight="true" outlineLevel="0" collapsed="false">
      <c r="A7" s="11" t="s">
        <v>76</v>
      </c>
      <c r="B7" s="17" t="n">
        <v>2900</v>
      </c>
      <c r="C7" s="17" t="n">
        <v>2900</v>
      </c>
      <c r="D7" s="17" t="n">
        <v>2900</v>
      </c>
      <c r="E7" s="17" t="n">
        <v>3000</v>
      </c>
      <c r="F7" s="17" t="n">
        <v>3100</v>
      </c>
      <c r="G7" s="17" t="n">
        <v>3200</v>
      </c>
      <c r="H7" s="17" t="n">
        <v>3200</v>
      </c>
      <c r="I7" s="17" t="n">
        <v>3200</v>
      </c>
    </row>
    <row r="8" customFormat="false" ht="15" hidden="false" customHeight="true" outlineLevel="0" collapsed="false">
      <c r="A8" s="11" t="s">
        <v>77</v>
      </c>
      <c r="B8" s="10"/>
      <c r="C8" s="10"/>
      <c r="D8" s="10"/>
      <c r="E8" s="21" t="n">
        <f aca="false">E5-E7</f>
        <v>4200</v>
      </c>
      <c r="F8" s="21" t="n">
        <f aca="false">F5-F7</f>
        <v>5400</v>
      </c>
      <c r="G8" s="21" t="n">
        <f aca="false">G5-G7</f>
        <v>6300</v>
      </c>
      <c r="H8" s="21" t="n">
        <f aca="false">H5-H7</f>
        <v>6800</v>
      </c>
      <c r="I8" s="21" t="n">
        <f aca="false">I5-I7</f>
        <v>7300</v>
      </c>
    </row>
    <row r="9" customFormat="false" ht="15" hidden="false" customHeight="true" outlineLevel="0" collapsed="false">
      <c r="A9" s="11" t="s">
        <v>78</v>
      </c>
      <c r="B9" s="17" t="n">
        <v>1200</v>
      </c>
      <c r="C9" s="17" t="n">
        <v>1300</v>
      </c>
      <c r="D9" s="17" t="n">
        <v>1300</v>
      </c>
      <c r="E9" s="17" t="n">
        <v>1150</v>
      </c>
      <c r="F9" s="17" t="n">
        <v>1050</v>
      </c>
      <c r="G9" s="17" t="n">
        <v>950</v>
      </c>
      <c r="H9" s="17" t="n">
        <v>850</v>
      </c>
      <c r="I9" s="17" t="n">
        <v>750</v>
      </c>
    </row>
    <row r="10" customFormat="false" ht="15" hidden="false" customHeight="true" outlineLevel="0" collapsed="false">
      <c r="A10" s="11" t="s">
        <v>79</v>
      </c>
      <c r="B10" s="10"/>
      <c r="C10" s="10"/>
      <c r="D10" s="10"/>
      <c r="E10" s="20" t="n">
        <v>0.15</v>
      </c>
      <c r="F10" s="20" t="n">
        <v>0.18</v>
      </c>
      <c r="G10" s="20" t="n">
        <v>0.2</v>
      </c>
      <c r="H10" s="20" t="n">
        <v>0.22</v>
      </c>
      <c r="I10" s="20" t="n">
        <v>0.22</v>
      </c>
    </row>
    <row r="11" customFormat="false" ht="15" hidden="false" customHeight="true" outlineLevel="0" collapsed="false">
      <c r="A11" s="11" t="s">
        <v>80</v>
      </c>
      <c r="B11" s="10"/>
      <c r="C11" s="10"/>
      <c r="D11" s="10"/>
      <c r="E11" s="21" t="n">
        <f aca="false">E8*(1-E10)</f>
        <v>3570</v>
      </c>
      <c r="F11" s="21" t="n">
        <f aca="false">F8*(1-F10)</f>
        <v>4428</v>
      </c>
      <c r="G11" s="21" t="n">
        <f aca="false">G8*(1-G10)</f>
        <v>5040</v>
      </c>
      <c r="H11" s="21" t="n">
        <f aca="false">H8*(1-H10)</f>
        <v>5304</v>
      </c>
      <c r="I11" s="21" t="n">
        <f aca="false">I8*(1-I10)</f>
        <v>5694</v>
      </c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9" t="s">
        <v>81</v>
      </c>
      <c r="B13" s="19"/>
      <c r="C13" s="19"/>
      <c r="D13" s="19"/>
      <c r="E13" s="19"/>
      <c r="F13" s="19"/>
      <c r="G13" s="19"/>
      <c r="H13" s="19"/>
      <c r="I13" s="19"/>
    </row>
    <row r="14" customFormat="false" ht="15" hidden="false" customHeight="true" outlineLevel="0" collapsed="false">
      <c r="A14" s="11" t="s">
        <v>82</v>
      </c>
      <c r="B14" s="10"/>
      <c r="C14" s="10"/>
      <c r="D14" s="10"/>
      <c r="E14" s="21" t="n">
        <f aca="false">E11</f>
        <v>3570</v>
      </c>
      <c r="F14" s="21" t="n">
        <f aca="false">F11</f>
        <v>4428</v>
      </c>
      <c r="G14" s="21" t="n">
        <f aca="false">G11</f>
        <v>5040</v>
      </c>
      <c r="H14" s="21" t="n">
        <f aca="false">H11</f>
        <v>5304</v>
      </c>
      <c r="I14" s="21" t="n">
        <f aca="false">I11</f>
        <v>5694</v>
      </c>
    </row>
    <row r="15" customFormat="false" ht="15" hidden="false" customHeight="true" outlineLevel="0" collapsed="false">
      <c r="A15" s="11" t="s">
        <v>83</v>
      </c>
      <c r="B15" s="10"/>
      <c r="C15" s="10"/>
      <c r="D15" s="10"/>
      <c r="E15" s="21" t="n">
        <f aca="false">E7</f>
        <v>3000</v>
      </c>
      <c r="F15" s="21" t="n">
        <f aca="false">F7</f>
        <v>3100</v>
      </c>
      <c r="G15" s="21" t="n">
        <f aca="false">G7</f>
        <v>3200</v>
      </c>
      <c r="H15" s="21" t="n">
        <f aca="false">H7</f>
        <v>3200</v>
      </c>
      <c r="I15" s="21" t="n">
        <f aca="false">I7</f>
        <v>3200</v>
      </c>
    </row>
    <row r="16" customFormat="false" ht="15" hidden="false" customHeight="true" outlineLevel="0" collapsed="false">
      <c r="A16" s="11" t="s">
        <v>84</v>
      </c>
      <c r="B16" s="17" t="n">
        <v>-1100</v>
      </c>
      <c r="C16" s="17" t="n">
        <v>-1300</v>
      </c>
      <c r="D16" s="17" t="n">
        <v>-1500</v>
      </c>
      <c r="E16" s="17" t="n">
        <v>-1400</v>
      </c>
      <c r="F16" s="17" t="n">
        <v>-1300</v>
      </c>
      <c r="G16" s="17" t="n">
        <v>-1200</v>
      </c>
      <c r="H16" s="17" t="n">
        <v>-1100</v>
      </c>
      <c r="I16" s="17" t="n">
        <v>-1050</v>
      </c>
    </row>
    <row r="17" customFormat="false" ht="15" hidden="false" customHeight="true" outlineLevel="0" collapsed="false">
      <c r="A17" s="11" t="s">
        <v>85</v>
      </c>
      <c r="B17" s="17" t="n">
        <v>-200</v>
      </c>
      <c r="C17" s="17" t="n">
        <v>-300</v>
      </c>
      <c r="D17" s="17" t="n">
        <v>-200</v>
      </c>
      <c r="E17" s="17" t="n">
        <v>-200</v>
      </c>
      <c r="F17" s="17" t="n">
        <v>-200</v>
      </c>
      <c r="G17" s="17" t="n">
        <v>-150</v>
      </c>
      <c r="H17" s="17" t="n">
        <v>-150</v>
      </c>
      <c r="I17" s="17" t="n">
        <v>-150</v>
      </c>
    </row>
    <row r="18" customFormat="false" ht="15" hidden="false" customHeight="true" outlineLevel="0" collapsed="false">
      <c r="A18" s="11" t="s">
        <v>86</v>
      </c>
      <c r="B18" s="10"/>
      <c r="C18" s="10"/>
      <c r="D18" s="10"/>
      <c r="E18" s="22" t="n">
        <f aca="false">SUM(E14:E17)</f>
        <v>4970</v>
      </c>
      <c r="F18" s="22" t="n">
        <f aca="false">SUM(F14:F17)</f>
        <v>6028</v>
      </c>
      <c r="G18" s="22" t="n">
        <f aca="false">SUM(G14:G17)</f>
        <v>6890</v>
      </c>
      <c r="H18" s="22" t="n">
        <f aca="false">SUM(H14:H17)</f>
        <v>7254</v>
      </c>
      <c r="I18" s="22" t="n">
        <f aca="false">SUM(I14:I17)</f>
        <v>7694</v>
      </c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9" t="s">
        <v>87</v>
      </c>
      <c r="B20" s="19"/>
      <c r="C20" s="19"/>
      <c r="D20" s="19"/>
      <c r="E20" s="19"/>
      <c r="F20" s="19"/>
      <c r="G20" s="19"/>
      <c r="H20" s="19"/>
      <c r="I20" s="19"/>
    </row>
    <row r="21" customFormat="false" ht="15" hidden="false" customHeight="true" outlineLevel="0" collapsed="false">
      <c r="A21" s="11" t="s">
        <v>41</v>
      </c>
      <c r="B21" s="10"/>
      <c r="C21" s="10"/>
      <c r="D21" s="10"/>
      <c r="E21" s="14" t="n">
        <f aca="false">Assumptions!B9</f>
        <v>0.0799875</v>
      </c>
      <c r="F21" s="10"/>
      <c r="G21" s="10"/>
      <c r="H21" s="10"/>
      <c r="I21" s="10"/>
    </row>
    <row r="22" customFormat="false" ht="15" hidden="false" customHeight="true" outlineLevel="0" collapsed="false">
      <c r="A22" s="11" t="s">
        <v>88</v>
      </c>
      <c r="B22" s="10"/>
      <c r="C22" s="10"/>
      <c r="D22" s="10"/>
      <c r="E22" s="23" t="n">
        <v>1</v>
      </c>
      <c r="F22" s="23" t="n">
        <v>2</v>
      </c>
      <c r="G22" s="23" t="n">
        <v>3</v>
      </c>
      <c r="H22" s="23" t="n">
        <v>4</v>
      </c>
      <c r="I22" s="23" t="n">
        <v>5</v>
      </c>
    </row>
    <row r="23" customFormat="false" ht="15" hidden="false" customHeight="true" outlineLevel="0" collapsed="false">
      <c r="A23" s="11" t="s">
        <v>89</v>
      </c>
      <c r="B23" s="10"/>
      <c r="C23" s="10"/>
      <c r="D23" s="10"/>
      <c r="E23" s="24" t="n">
        <f aca="false">1/(1+$E$21)^E22</f>
        <v>0.925936642785217</v>
      </c>
      <c r="F23" s="24" t="n">
        <f aca="false">1/(1+$E$21)^F22</f>
        <v>0.857358666452359</v>
      </c>
      <c r="G23" s="24" t="n">
        <f aca="false">1/(1+$E$21)^G22</f>
        <v>0.793859805277708</v>
      </c>
      <c r="H23" s="24" t="n">
        <f aca="false">1/(1+$E$21)^H22</f>
        <v>0.735063882940968</v>
      </c>
      <c r="I23" s="24" t="n">
        <f aca="false">1/(1+$E$21)^I22</f>
        <v>0.680622584003026</v>
      </c>
    </row>
    <row r="24" customFormat="false" ht="15" hidden="false" customHeight="true" outlineLevel="0" collapsed="false">
      <c r="A24" s="11" t="s">
        <v>90</v>
      </c>
      <c r="B24" s="10"/>
      <c r="C24" s="10"/>
      <c r="D24" s="10"/>
      <c r="E24" s="22" t="n">
        <f aca="false">E18*E23</f>
        <v>4601.90511464253</v>
      </c>
      <c r="F24" s="22" t="n">
        <f aca="false">F18*F23</f>
        <v>5168.15804137482</v>
      </c>
      <c r="G24" s="22" t="n">
        <f aca="false">G18*G23</f>
        <v>5469.69405836341</v>
      </c>
      <c r="H24" s="22" t="n">
        <f aca="false">H18*H23</f>
        <v>5332.15340685378</v>
      </c>
      <c r="I24" s="22" t="n">
        <f aca="false">I18*I23</f>
        <v>5236.71016131928</v>
      </c>
    </row>
    <row r="25" customFormat="false" ht="15" hidden="false" customHeight="true" outlineLevel="0" collapsed="false">
      <c r="A25" s="11" t="s">
        <v>91</v>
      </c>
      <c r="B25" s="10"/>
      <c r="C25" s="10"/>
      <c r="D25" s="10"/>
      <c r="E25" s="22" t="n">
        <f aca="false">SUM(E24:I24)</f>
        <v>25808.6207825538</v>
      </c>
      <c r="F25" s="10"/>
      <c r="G25" s="10"/>
      <c r="H25" s="10"/>
      <c r="I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9" t="s">
        <v>92</v>
      </c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11" t="s">
        <v>93</v>
      </c>
      <c r="B28" s="10"/>
      <c r="C28" s="10"/>
      <c r="D28" s="10"/>
      <c r="E28" s="14" t="n">
        <f aca="false">Assumptions!B11</f>
        <v>0.025</v>
      </c>
      <c r="F28" s="10"/>
      <c r="G28" s="10"/>
      <c r="H28" s="10"/>
      <c r="I28" s="10"/>
    </row>
    <row r="29" customFormat="false" ht="15" hidden="false" customHeight="true" outlineLevel="0" collapsed="false">
      <c r="A29" s="11" t="s">
        <v>94</v>
      </c>
      <c r="B29" s="10"/>
      <c r="C29" s="10"/>
      <c r="D29" s="10"/>
      <c r="E29" s="22" t="n">
        <f aca="false">I18*(1+E28)</f>
        <v>7886.35</v>
      </c>
      <c r="F29" s="10"/>
      <c r="G29" s="10"/>
      <c r="H29" s="10"/>
      <c r="I29" s="10"/>
    </row>
    <row r="30" customFormat="false" ht="15" hidden="false" customHeight="true" outlineLevel="0" collapsed="false">
      <c r="A30" s="11" t="s">
        <v>95</v>
      </c>
      <c r="B30" s="10"/>
      <c r="C30" s="10"/>
      <c r="D30" s="10"/>
      <c r="E30" s="22" t="n">
        <f aca="false">E29/(E21-E28)</f>
        <v>143420.77744942</v>
      </c>
      <c r="F30" s="10"/>
      <c r="G30" s="10"/>
      <c r="H30" s="10"/>
      <c r="I30" s="10"/>
    </row>
    <row r="31" customFormat="false" ht="15" hidden="false" customHeight="true" outlineLevel="0" collapsed="false">
      <c r="A31" s="11" t="s">
        <v>96</v>
      </c>
      <c r="B31" s="10"/>
      <c r="C31" s="10"/>
      <c r="D31" s="10"/>
      <c r="E31" s="22" t="n">
        <f aca="false">E30*I23</f>
        <v>97615.4201473473</v>
      </c>
      <c r="F31" s="10"/>
      <c r="G31" s="10"/>
      <c r="H31" s="10"/>
      <c r="I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true" outlineLevel="0" collapsed="false">
      <c r="A33" s="9" t="s">
        <v>97</v>
      </c>
      <c r="B33" s="19"/>
      <c r="C33" s="19"/>
      <c r="D33" s="19"/>
      <c r="E33" s="19"/>
      <c r="F33" s="19"/>
      <c r="G33" s="19"/>
      <c r="H33" s="19"/>
      <c r="I33" s="19"/>
    </row>
    <row r="34" customFormat="false" ht="15" hidden="false" customHeight="true" outlineLevel="0" collapsed="false">
      <c r="A34" s="11" t="s">
        <v>98</v>
      </c>
      <c r="B34" s="10"/>
      <c r="C34" s="10"/>
      <c r="D34" s="10"/>
      <c r="E34" s="22" t="n">
        <f aca="false">E25</f>
        <v>25808.6207825538</v>
      </c>
      <c r="F34" s="10"/>
      <c r="G34" s="10"/>
      <c r="H34" s="10"/>
      <c r="I34" s="10"/>
    </row>
    <row r="35" customFormat="false" ht="15" hidden="false" customHeight="true" outlineLevel="0" collapsed="false">
      <c r="A35" s="11" t="s">
        <v>96</v>
      </c>
      <c r="B35" s="10"/>
      <c r="C35" s="10"/>
      <c r="D35" s="10"/>
      <c r="E35" s="22" t="n">
        <f aca="false">E31</f>
        <v>97615.4201473473</v>
      </c>
      <c r="F35" s="10"/>
      <c r="G35" s="10"/>
      <c r="H35" s="10"/>
      <c r="I35" s="10"/>
    </row>
    <row r="36" customFormat="false" ht="15" hidden="false" customHeight="true" outlineLevel="0" collapsed="false">
      <c r="A36" s="11" t="s">
        <v>99</v>
      </c>
      <c r="B36" s="10"/>
      <c r="C36" s="10"/>
      <c r="D36" s="10"/>
      <c r="E36" s="22" t="n">
        <f aca="false">E34+E35</f>
        <v>123424.040929901</v>
      </c>
      <c r="F36" s="10"/>
      <c r="G36" s="10"/>
      <c r="H36" s="10"/>
      <c r="I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true" outlineLevel="0" collapsed="false">
      <c r="A38" s="9" t="s">
        <v>100</v>
      </c>
      <c r="B38" s="19"/>
      <c r="C38" s="19"/>
      <c r="D38" s="19"/>
      <c r="E38" s="19"/>
      <c r="F38" s="19"/>
      <c r="G38" s="19"/>
      <c r="H38" s="19"/>
      <c r="I38" s="19"/>
    </row>
    <row r="39" customFormat="false" ht="15" hidden="false" customHeight="true" outlineLevel="0" collapsed="false">
      <c r="A39" s="11" t="s">
        <v>99</v>
      </c>
      <c r="B39" s="10"/>
      <c r="C39" s="10"/>
      <c r="D39" s="10"/>
      <c r="E39" s="22" t="n">
        <f aca="false">E36</f>
        <v>123424.040929901</v>
      </c>
      <c r="F39" s="10"/>
      <c r="G39" s="10"/>
      <c r="H39" s="10"/>
      <c r="I39" s="10"/>
    </row>
    <row r="40" customFormat="false" ht="15" hidden="false" customHeight="true" outlineLevel="0" collapsed="false">
      <c r="A40" s="11" t="s">
        <v>101</v>
      </c>
      <c r="B40" s="10"/>
      <c r="C40" s="10"/>
      <c r="D40" s="10"/>
      <c r="E40" s="17" t="n">
        <v>-19200</v>
      </c>
      <c r="F40" s="10"/>
      <c r="G40" s="10"/>
      <c r="H40" s="10"/>
      <c r="I40" s="10"/>
    </row>
    <row r="41" customFormat="false" ht="15" hidden="false" customHeight="true" outlineLevel="0" collapsed="false">
      <c r="A41" s="11" t="s">
        <v>102</v>
      </c>
      <c r="B41" s="10"/>
      <c r="C41" s="10"/>
      <c r="D41" s="10"/>
      <c r="E41" s="17" t="n">
        <v>-2500</v>
      </c>
      <c r="F41" s="10"/>
      <c r="G41" s="10"/>
      <c r="H41" s="10"/>
      <c r="I41" s="10"/>
    </row>
    <row r="42" customFormat="false" ht="15" hidden="false" customHeight="true" outlineLevel="0" collapsed="false">
      <c r="A42" s="11" t="s">
        <v>103</v>
      </c>
      <c r="B42" s="10"/>
      <c r="C42" s="10"/>
      <c r="D42" s="10"/>
      <c r="E42" s="22" t="n">
        <f aca="false">E39+E40+E41</f>
        <v>101724.040929901</v>
      </c>
      <c r="F42" s="10"/>
      <c r="G42" s="10"/>
      <c r="H42" s="10"/>
      <c r="I42" s="10"/>
    </row>
    <row r="43" customFormat="false" ht="15" hidden="false" customHeight="true" outlineLevel="0" collapsed="false">
      <c r="A43" s="11" t="s">
        <v>104</v>
      </c>
      <c r="B43" s="10"/>
      <c r="C43" s="10"/>
      <c r="D43" s="10"/>
      <c r="E43" s="25" t="n">
        <f aca="false">Assumptions!B15</f>
        <v>340</v>
      </c>
      <c r="F43" s="10"/>
      <c r="G43" s="10"/>
      <c r="H43" s="10"/>
      <c r="I43" s="10"/>
    </row>
    <row r="44" customFormat="false" ht="15" hidden="false" customHeight="true" outlineLevel="0" collapsed="false">
      <c r="A44" s="11" t="s">
        <v>105</v>
      </c>
      <c r="B44" s="10"/>
      <c r="C44" s="10"/>
      <c r="D44" s="10"/>
      <c r="E44" s="26" t="n">
        <f aca="false">E42/E43</f>
        <v>299.18835567618</v>
      </c>
      <c r="G44" s="21" t="n">
        <v>2</v>
      </c>
      <c r="H44" s="21" t="n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2"/>
  </cols>
  <sheetData>
    <row r="1" customFormat="false" ht="15" hidden="false" customHeight="true" outlineLevel="0" collapsed="false">
      <c r="A1" s="27" t="s">
        <v>106</v>
      </c>
      <c r="B1" s="8" t="s">
        <v>107</v>
      </c>
      <c r="C1" s="8" t="s">
        <v>108</v>
      </c>
      <c r="D1" s="8" t="s">
        <v>18</v>
      </c>
      <c r="E1" s="8" t="s">
        <v>109</v>
      </c>
      <c r="F1" s="8" t="s">
        <v>110</v>
      </c>
    </row>
    <row r="2" customFormat="false" ht="15" hidden="false" customHeight="true" outlineLevel="0" collapsed="false">
      <c r="A2" s="8" t="s">
        <v>111</v>
      </c>
      <c r="B2" s="28" t="n">
        <v>115</v>
      </c>
      <c r="C2" s="28" t="n">
        <v>128</v>
      </c>
      <c r="D2" s="28" t="n">
        <v>143</v>
      </c>
      <c r="E2" s="28" t="n">
        <v>161</v>
      </c>
      <c r="F2" s="28" t="n">
        <v>182</v>
      </c>
    </row>
    <row r="3" customFormat="false" ht="15" hidden="false" customHeight="true" outlineLevel="0" collapsed="false">
      <c r="A3" s="8" t="s">
        <v>112</v>
      </c>
      <c r="B3" s="28" t="n">
        <v>101</v>
      </c>
      <c r="C3" s="28" t="n">
        <v>112</v>
      </c>
      <c r="D3" s="28" t="n">
        <v>125</v>
      </c>
      <c r="E3" s="28" t="n">
        <v>140</v>
      </c>
      <c r="F3" s="28" t="n">
        <v>157</v>
      </c>
    </row>
    <row r="4" customFormat="false" ht="15" hidden="false" customHeight="true" outlineLevel="0" collapsed="false">
      <c r="A4" s="8" t="s">
        <v>16</v>
      </c>
      <c r="B4" s="28" t="n">
        <v>89</v>
      </c>
      <c r="C4" s="28" t="n">
        <v>99</v>
      </c>
      <c r="D4" s="28" t="n">
        <v>110</v>
      </c>
      <c r="E4" s="28" t="n">
        <v>122</v>
      </c>
      <c r="F4" s="28" t="n">
        <v>136</v>
      </c>
    </row>
    <row r="5" customFormat="false" ht="15" hidden="false" customHeight="true" outlineLevel="0" collapsed="false">
      <c r="A5" s="8" t="s">
        <v>113</v>
      </c>
      <c r="B5" s="28" t="n">
        <v>79</v>
      </c>
      <c r="C5" s="28" t="n">
        <v>87</v>
      </c>
      <c r="D5" s="28" t="n">
        <v>96</v>
      </c>
      <c r="E5" s="28" t="n">
        <v>107</v>
      </c>
      <c r="F5" s="28" t="n">
        <v>119</v>
      </c>
    </row>
    <row r="6" customFormat="false" ht="15" hidden="false" customHeight="true" outlineLevel="0" collapsed="false">
      <c r="A6" s="8" t="s">
        <v>114</v>
      </c>
      <c r="B6" s="28" t="n">
        <v>70</v>
      </c>
      <c r="C6" s="28" t="n">
        <v>77</v>
      </c>
      <c r="D6" s="28" t="n">
        <v>85</v>
      </c>
      <c r="E6" s="28" t="n">
        <v>94</v>
      </c>
      <c r="F6" s="28" t="n">
        <v>104</v>
      </c>
    </row>
    <row r="8" customFormat="false" ht="15" hidden="false" customHeight="true" outlineLevel="0" collapsed="false">
      <c r="A8" s="7" t="s">
        <v>115</v>
      </c>
    </row>
    <row r="9" customFormat="false" ht="15" hidden="false" customHeight="true" outlineLevel="0" collapsed="false">
      <c r="A9" s="7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2026-06-03T21:44:41Z</dcterms:created>
  <dc:creator>openpyxl</dc:creator>
  <dc:description/>
  <dc:language>en-US</dc:language>
  <cp:lastModifiedBy/>
  <dcterms:modified xsi:type="dcterms:W3CDTF">2026-06-03T21:46:52Z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