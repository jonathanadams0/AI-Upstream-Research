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V" sheetId="2" state="visible" r:id="rId2"/>
    <sheet xmlns:r="http://schemas.openxmlformats.org/officeDocument/2006/relationships" name="CEG" sheetId="3" state="visible" r:id="rId3"/>
    <sheet xmlns:r="http://schemas.openxmlformats.org/officeDocument/2006/relationships" name="NRG" sheetId="4" state="visible" r:id="rId4"/>
    <sheet xmlns:r="http://schemas.openxmlformats.org/officeDocument/2006/relationships" name="VST" sheetId="5" state="visible" r:id="rId5"/>
    <sheet xmlns:r="http://schemas.openxmlformats.org/officeDocument/2006/relationships" name="MU" sheetId="6" state="visible" r:id="rId6"/>
    <sheet xmlns:r="http://schemas.openxmlformats.org/officeDocument/2006/relationships" name="AVGO" sheetId="7" state="visible" r:id="rId7"/>
    <sheet xmlns:r="http://schemas.openxmlformats.org/officeDocument/2006/relationships" name="LRCX" sheetId="8" state="visible" r:id="rId8"/>
    <sheet xmlns:r="http://schemas.openxmlformats.org/officeDocument/2006/relationships" name="VRT" sheetId="9" state="visible" r:id="rId9"/>
    <sheet xmlns:r="http://schemas.openxmlformats.org/officeDocument/2006/relationships" name="ANET" sheetId="10" state="visible" r:id="rId10"/>
    <sheet xmlns:r="http://schemas.openxmlformats.org/officeDocument/2006/relationships" name="BE" sheetId="11" state="visible" r:id="rId11"/>
    <sheet xmlns:r="http://schemas.openxmlformats.org/officeDocument/2006/relationships" name="AMAT" sheetId="12" state="visible" r:id="rId12"/>
    <sheet xmlns:r="http://schemas.openxmlformats.org/officeDocument/2006/relationships" name="APLD" sheetId="13" state="visible" r:id="rId13"/>
    <sheet xmlns:r="http://schemas.openxmlformats.org/officeDocument/2006/relationships" name="CAT" sheetId="14" state="visible" r:id="rId14"/>
    <sheet xmlns:r="http://schemas.openxmlformats.org/officeDocument/2006/relationships" name="CCJ" sheetId="15" state="visible" r:id="rId15"/>
    <sheet xmlns:r="http://schemas.openxmlformats.org/officeDocument/2006/relationships" name="CLS" sheetId="16" state="visible" r:id="rId16"/>
    <sheet xmlns:r="http://schemas.openxmlformats.org/officeDocument/2006/relationships" name="DLR" sheetId="17" state="visible" r:id="rId17"/>
    <sheet xmlns:r="http://schemas.openxmlformats.org/officeDocument/2006/relationships" name="FN" sheetId="18" state="visible" r:id="rId18"/>
    <sheet xmlns:r="http://schemas.openxmlformats.org/officeDocument/2006/relationships" name="GNRC" sheetId="19" state="visible" r:id="rId19"/>
    <sheet xmlns:r="http://schemas.openxmlformats.org/officeDocument/2006/relationships" name="HUBB" sheetId="20" state="visible" r:id="rId20"/>
    <sheet xmlns:r="http://schemas.openxmlformats.org/officeDocument/2006/relationships" name="IRM" sheetId="21" state="visible" r:id="rId21"/>
    <sheet xmlns:r="http://schemas.openxmlformats.org/officeDocument/2006/relationships" name="LITE" sheetId="22" state="visible" r:id="rId22"/>
    <sheet xmlns:r="http://schemas.openxmlformats.org/officeDocument/2006/relationships" name="MOD" sheetId="23" state="visible" r:id="rId23"/>
    <sheet xmlns:r="http://schemas.openxmlformats.org/officeDocument/2006/relationships" name="MP" sheetId="24" state="visible" r:id="rId24"/>
    <sheet xmlns:r="http://schemas.openxmlformats.org/officeDocument/2006/relationships" name="MRVL" sheetId="25" state="visible" r:id="rId25"/>
    <sheet xmlns:r="http://schemas.openxmlformats.org/officeDocument/2006/relationships" name="NBIS" sheetId="26" state="visible" r:id="rId26"/>
    <sheet xmlns:r="http://schemas.openxmlformats.org/officeDocument/2006/relationships" name="SPXC" sheetId="27" state="visible" r:id="rId27"/>
    <sheet xmlns:r="http://schemas.openxmlformats.org/officeDocument/2006/relationships" name="UUUU" sheetId="28" state="visible" r:id="rId28"/>
    <sheet xmlns:r="http://schemas.openxmlformats.org/officeDocument/2006/relationships" name="XYL" sheetId="29" state="visible" r:id="rId29"/>
    <sheet xmlns:r="http://schemas.openxmlformats.org/officeDocument/2006/relationships" name="ASML" sheetId="30" state="visible" r:id="rId30"/>
    <sheet xmlns:r="http://schemas.openxmlformats.org/officeDocument/2006/relationships" name="BW" sheetId="31" state="visible" r:id="rId31"/>
    <sheet xmlns:r="http://schemas.openxmlformats.org/officeDocument/2006/relationships" name="COHR" sheetId="32" state="visible" r:id="rId32"/>
    <sheet xmlns:r="http://schemas.openxmlformats.org/officeDocument/2006/relationships" name="CRDO" sheetId="33" state="visible" r:id="rId33"/>
    <sheet xmlns:r="http://schemas.openxmlformats.org/officeDocument/2006/relationships" name="EME" sheetId="34" state="visible" r:id="rId34"/>
    <sheet xmlns:r="http://schemas.openxmlformats.org/officeDocument/2006/relationships" name="EQIX" sheetId="35" state="visible" r:id="rId35"/>
    <sheet xmlns:r="http://schemas.openxmlformats.org/officeDocument/2006/relationships" name="ETN" sheetId="36" state="visible" r:id="rId36"/>
    <sheet xmlns:r="http://schemas.openxmlformats.org/officeDocument/2006/relationships" name="FCEL" sheetId="37" state="visible" r:id="rId37"/>
    <sheet xmlns:r="http://schemas.openxmlformats.org/officeDocument/2006/relationships" name="FCX" sheetId="38" state="visible" r:id="rId38"/>
    <sheet xmlns:r="http://schemas.openxmlformats.org/officeDocument/2006/relationships" name="GLW" sheetId="39" state="visible" r:id="rId39"/>
    <sheet xmlns:r="http://schemas.openxmlformats.org/officeDocument/2006/relationships" name="HUT" sheetId="40" state="visible" r:id="rId40"/>
    <sheet xmlns:r="http://schemas.openxmlformats.org/officeDocument/2006/relationships" name="INTC" sheetId="41" state="visible" r:id="rId41"/>
    <sheet xmlns:r="http://schemas.openxmlformats.org/officeDocument/2006/relationships" name="IREN" sheetId="42" state="visible" r:id="rId42"/>
    <sheet xmlns:r="http://schemas.openxmlformats.org/officeDocument/2006/relationships" name="KLAC" sheetId="43" state="visible" r:id="rId43"/>
    <sheet xmlns:r="http://schemas.openxmlformats.org/officeDocument/2006/relationships" name="MKSI" sheetId="44" state="visible" r:id="rId44"/>
    <sheet xmlns:r="http://schemas.openxmlformats.org/officeDocument/2006/relationships" name="MPWR" sheetId="45" state="visible" r:id="rId45"/>
    <sheet xmlns:r="http://schemas.openxmlformats.org/officeDocument/2006/relationships" name="NVT" sheetId="46" state="visible" r:id="rId46"/>
    <sheet xmlns:r="http://schemas.openxmlformats.org/officeDocument/2006/relationships" name="ON" sheetId="47" state="visible" r:id="rId47"/>
    <sheet xmlns:r="http://schemas.openxmlformats.org/officeDocument/2006/relationships" name="PWR" sheetId="48" state="visible" r:id="rId48"/>
    <sheet xmlns:r="http://schemas.openxmlformats.org/officeDocument/2006/relationships" name="SCCO" sheetId="49" state="visible" r:id="rId49"/>
    <sheet xmlns:r="http://schemas.openxmlformats.org/officeDocument/2006/relationships" name="SNDK" sheetId="50" state="visible" r:id="rId50"/>
    <sheet xmlns:r="http://schemas.openxmlformats.org/officeDocument/2006/relationships" name="STX" sheetId="51" state="visible" r:id="rId51"/>
    <sheet xmlns:r="http://schemas.openxmlformats.org/officeDocument/2006/relationships" name="TOELY" sheetId="52" state="visible" r:id="rId52"/>
    <sheet xmlns:r="http://schemas.openxmlformats.org/officeDocument/2006/relationships" name="TSEM" sheetId="53" state="visible" r:id="rId53"/>
    <sheet xmlns:r="http://schemas.openxmlformats.org/officeDocument/2006/relationships" name="TT" sheetId="54" state="visible" r:id="rId54"/>
    <sheet xmlns:r="http://schemas.openxmlformats.org/officeDocument/2006/relationships" name="WDC" sheetId="55" state="visible" r:id="rId55"/>
    <sheet xmlns:r="http://schemas.openxmlformats.org/officeDocument/2006/relationships" name="WMB" sheetId="56" state="visible" r:id="rId56"/>
    <sheet xmlns:r="http://schemas.openxmlformats.org/officeDocument/2006/relationships" name="SMNEY" sheetId="57" state="visible" r:id="rId5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.00;&quot;($&quot;#,##0.00\);\-"/>
    <numFmt numFmtId="165" formatCode="0.00;\(0.00\);\-"/>
    <numFmt numFmtId="166" formatCode="0.0\x"/>
    <numFmt numFmtId="167" formatCode="0.00\x"/>
    <numFmt numFmtId="168" formatCode="0.0%;\(0.0%\);\-"/>
    <numFmt numFmtId="169" formatCode="0.0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9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30" min="1" max="1"/>
    <col width="13" customWidth="1" style="30" min="2" max="10"/>
    <col width="70" customWidth="1" style="30" min="11" max="11"/>
  </cols>
  <sheetData>
    <row r="1" ht="15" customHeight="1" s="31">
      <c r="A1" s="32" t="inlineStr">
        <is>
          <t>PT AUDIT MODELS — FULL COVERAGE (EPS × Multiple)</t>
        </is>
      </c>
    </row>
    <row r="2" ht="15" customHeight="1" s="31">
      <c r="A2" s="33" t="inlineStr">
        <is>
          <t>Built 2026-07-07 (evening) — extends PT_Models_Top10.xlsx to all 56 rated names (28 Buy / 28 Hold). Green = pulls from name tabs. Excluded: OKLO (no PT by design), ENTG (PT under review), ACM/CORZ/WOLF (not rated). Refresh each tab at its print.</t>
        </is>
      </c>
    </row>
    <row r="3"/>
    <row r="4" ht="15" customHeight="1" s="31">
      <c r="A4" s="34" t="inlineStr">
        <is>
          <t>Ticker</t>
        </is>
      </c>
      <c r="B4" s="34" t="inlineStr">
        <is>
          <t>Rating</t>
        </is>
      </c>
      <c r="C4" s="34" t="inlineStr">
        <is>
          <t>Price 7/7</t>
        </is>
      </c>
      <c r="D4" s="34" t="inlineStr">
        <is>
          <t>PT</t>
        </is>
      </c>
      <c r="E4" s="34" t="inlineStr">
        <is>
          <t>Bear</t>
        </is>
      </c>
      <c r="F4" s="34" t="inlineStr">
        <is>
          <t>NTM EPS (cons)</t>
        </is>
      </c>
      <c r="G4" s="34" t="inlineStr">
        <is>
          <t>P/E @ price</t>
        </is>
      </c>
      <c r="H4" s="34" t="inlineStr">
        <is>
          <t>P/E @ PT</t>
        </is>
      </c>
      <c r="I4" s="34" t="inlineStr">
        <is>
          <t>Asymmetry</t>
        </is>
      </c>
      <c r="J4" s="34" t="inlineStr">
        <is>
          <t>Next print</t>
        </is>
      </c>
      <c r="K4" s="34" t="inlineStr">
        <is>
          <t>Audit flag</t>
        </is>
      </c>
    </row>
    <row r="5" ht="15" customHeight="1" s="31">
      <c r="A5" s="35" t="inlineStr">
        <is>
          <t>BUY-RATED (28)</t>
        </is>
      </c>
    </row>
    <row r="6" ht="15" customHeight="1" s="31">
      <c r="A6" s="36" t="inlineStr">
        <is>
          <t>GEV</t>
        </is>
      </c>
      <c r="B6" s="36" t="inlineStr">
        <is>
          <t>Buy</t>
        </is>
      </c>
      <c r="C6" s="37">
        <f>GEV!B4</f>
        <v/>
      </c>
      <c r="D6" s="37">
        <f>GEV!B5</f>
        <v/>
      </c>
      <c r="E6" s="37">
        <f>GEV!B6</f>
        <v/>
      </c>
      <c r="F6" s="38">
        <f>GEV!B9</f>
        <v/>
      </c>
      <c r="G6" s="39">
        <f>GEV!B10</f>
        <v/>
      </c>
      <c r="H6" s="39">
        <f>GEV!B11</f>
        <v/>
      </c>
      <c r="I6" s="40">
        <f>GEV!B16</f>
        <v/>
      </c>
      <c r="J6" s="36" t="inlineStr">
        <is>
          <t>Jul 22</t>
        </is>
      </c>
      <c r="K6" s="41" t="inlineStr">
        <is>
          <t>⚠️ 35x anchor ≠ PT (79x NTM) — re-anchor Jul 22</t>
        </is>
      </c>
    </row>
    <row r="7" ht="15" customHeight="1" s="31">
      <c r="A7" s="36" t="inlineStr">
        <is>
          <t>CEG</t>
        </is>
      </c>
      <c r="B7" s="36" t="inlineStr">
        <is>
          <t>Buy</t>
        </is>
      </c>
      <c r="C7" s="37">
        <f>CEG!B4</f>
        <v/>
      </c>
      <c r="D7" s="37">
        <f>CEG!B5</f>
        <v/>
      </c>
      <c r="E7" s="37">
        <f>CEG!B6</f>
        <v/>
      </c>
      <c r="F7" s="38">
        <f>CEG!B9</f>
        <v/>
      </c>
      <c r="G7" s="39">
        <f>CEG!B10</f>
        <v/>
      </c>
      <c r="H7" s="39">
        <f>CEG!B11</f>
        <v/>
      </c>
      <c r="I7" s="40">
        <f>CEG!B16</f>
        <v/>
      </c>
      <c r="J7" s="36" t="inlineStr">
        <is>
          <t>Aug 6~</t>
        </is>
      </c>
      <c r="K7" s="36" t="inlineStr">
        <is>
          <t>EBITDA primary; P/E view distorted. PJM Jul 14; 9% above bear</t>
        </is>
      </c>
    </row>
    <row r="8" ht="15" customHeight="1" s="31">
      <c r="A8" s="36" t="inlineStr">
        <is>
          <t>NRG</t>
        </is>
      </c>
      <c r="B8" s="36" t="inlineStr">
        <is>
          <t>Buy</t>
        </is>
      </c>
      <c r="C8" s="37">
        <f>NRG!B4</f>
        <v/>
      </c>
      <c r="D8" s="37">
        <f>NRG!B5</f>
        <v/>
      </c>
      <c r="E8" s="37">
        <f>NRG!B6</f>
        <v/>
      </c>
      <c r="F8" s="38">
        <f>NRG!B9</f>
        <v/>
      </c>
      <c r="G8" s="39">
        <f>NRG!B10</f>
        <v/>
      </c>
      <c r="H8" s="39">
        <f>NRG!B11</f>
        <v/>
      </c>
      <c r="I8" s="40">
        <f>NRG!B16</f>
        <v/>
      </c>
      <c r="J8" s="36" t="inlineStr">
        <is>
          <t>Aug 4</t>
        </is>
      </c>
      <c r="K8" s="36" t="inlineStr">
        <is>
          <t>Clean. PJM Jul 14 leg</t>
        </is>
      </c>
    </row>
    <row r="9" ht="15" customHeight="1" s="31">
      <c r="A9" s="36" t="inlineStr">
        <is>
          <t>VST</t>
        </is>
      </c>
      <c r="B9" s="36" t="inlineStr">
        <is>
          <t>Buy</t>
        </is>
      </c>
      <c r="C9" s="37">
        <f>VST!B4</f>
        <v/>
      </c>
      <c r="D9" s="37">
        <f>VST!B5</f>
        <v/>
      </c>
      <c r="E9" s="37">
        <f>VST!B6</f>
        <v/>
      </c>
      <c r="F9" s="38">
        <f>VST!B9</f>
        <v/>
      </c>
      <c r="G9" s="39">
        <f>VST!B10</f>
        <v/>
      </c>
      <c r="H9" s="39">
        <f>VST!B11</f>
        <v/>
      </c>
      <c r="I9" s="40">
        <f>VST!B16</f>
        <v/>
      </c>
      <c r="J9" s="36" t="inlineStr">
        <is>
          <t>Aug 7</t>
        </is>
      </c>
      <c r="K9" s="36" t="inlineStr">
        <is>
          <t>Reconcile dual bear ($145 MP vs $105 re-uw) at Aug 7 print</t>
        </is>
      </c>
    </row>
    <row r="10" ht="15" customHeight="1" s="31">
      <c r="A10" s="36" t="inlineStr">
        <is>
          <t>MU</t>
        </is>
      </c>
      <c r="B10" s="36" t="inlineStr">
        <is>
          <t>Buy</t>
        </is>
      </c>
      <c r="C10" s="37">
        <f>MU!B4</f>
        <v/>
      </c>
      <c r="D10" s="37">
        <f>MU!B5</f>
        <v/>
      </c>
      <c r="E10" s="37">
        <f>MU!B6</f>
        <v/>
      </c>
      <c r="F10" s="38">
        <f>MU!B9</f>
        <v/>
      </c>
      <c r="G10" s="39">
        <f>MU!B10</f>
        <v/>
      </c>
      <c r="H10" s="39">
        <f>MU!B11</f>
        <v/>
      </c>
      <c r="I10" s="40">
        <f>MU!B16</f>
        <v/>
      </c>
      <c r="J10" s="36" t="inlineStr">
        <is>
          <t>Sep 25</t>
        </is>
      </c>
      <c r="K10" s="36" t="inlineStr">
        <is>
          <t>Conservative vs cons ($120 &lt; cons NTM $131.8). Close&lt;$900 protocol armed</t>
        </is>
      </c>
    </row>
    <row r="11" ht="15" customHeight="1" s="31">
      <c r="A11" s="36" t="inlineStr">
        <is>
          <t>AVGO</t>
        </is>
      </c>
      <c r="B11" s="36" t="inlineStr">
        <is>
          <t>Buy</t>
        </is>
      </c>
      <c r="C11" s="37">
        <f>AVGO!B4</f>
        <v/>
      </c>
      <c r="D11" s="37">
        <f>AVGO!B5</f>
        <v/>
      </c>
      <c r="E11" s="37">
        <f>AVGO!B6</f>
        <v/>
      </c>
      <c r="F11" s="38">
        <f>AVGO!B9</f>
        <v/>
      </c>
      <c r="G11" s="39">
        <f>AVGO!B10</f>
        <v/>
      </c>
      <c r="H11" s="39">
        <f>AVGO!B11</f>
        <v/>
      </c>
      <c r="I11" s="40">
        <f>AVGO!B16</f>
        <v/>
      </c>
      <c r="J11" s="36" t="inlineStr">
        <is>
          <t>Sep 3</t>
        </is>
      </c>
      <c r="K11" s="36" t="inlineStr">
        <is>
          <t>EV/Rev anchor; anchor-migration question (Sep 3)</t>
        </is>
      </c>
    </row>
    <row r="12" ht="15" customHeight="1" s="31">
      <c r="A12" s="36" t="inlineStr">
        <is>
          <t>LRCX</t>
        </is>
      </c>
      <c r="B12" s="36" t="inlineStr">
        <is>
          <t>Buy</t>
        </is>
      </c>
      <c r="C12" s="37">
        <f>LRCX!B4</f>
        <v/>
      </c>
      <c r="D12" s="37">
        <f>LRCX!B5</f>
        <v/>
      </c>
      <c r="E12" s="37">
        <f>LRCX!B6</f>
        <v/>
      </c>
      <c r="F12" s="38">
        <f>LRCX!B9</f>
        <v/>
      </c>
      <c r="G12" s="39">
        <f>LRCX!B10</f>
        <v/>
      </c>
      <c r="H12" s="39">
        <f>LRCX!B11</f>
        <v/>
      </c>
      <c r="I12" s="40">
        <f>LRCX!B16</f>
        <v/>
      </c>
      <c r="J12" s="36" t="inlineStr">
        <is>
          <t>Jul 29</t>
        </is>
      </c>
      <c r="K12" s="36" t="inlineStr">
        <is>
          <t>Reconciles ~60–64x; Jul 29 adjudicates</t>
        </is>
      </c>
    </row>
    <row r="13" ht="15" customHeight="1" s="31">
      <c r="A13" s="36" t="inlineStr">
        <is>
          <t>VRT</t>
        </is>
      </c>
      <c r="B13" s="36" t="inlineStr">
        <is>
          <t>Buy</t>
        </is>
      </c>
      <c r="C13" s="37">
        <f>VRT!B4</f>
        <v/>
      </c>
      <c r="D13" s="37">
        <f>VRT!B5</f>
        <v/>
      </c>
      <c r="E13" s="37">
        <f>VRT!B6</f>
        <v/>
      </c>
      <c r="F13" s="38">
        <f>VRT!B9</f>
        <v/>
      </c>
      <c r="G13" s="39">
        <f>VRT!B10</f>
        <v/>
      </c>
      <c r="H13" s="39">
        <f>VRT!B11</f>
        <v/>
      </c>
      <c r="I13" s="40">
        <f>VRT!B16</f>
        <v/>
      </c>
      <c r="J13" s="36" t="inlineStr">
        <is>
          <t>Jul 29</t>
        </is>
      </c>
      <c r="K13" s="41" t="inlineStr">
        <is>
          <t>⚠️ No logged multiple anchor — set at Jul 29 print</t>
        </is>
      </c>
    </row>
    <row r="14" ht="15" customHeight="1" s="31">
      <c r="A14" s="36" t="inlineStr">
        <is>
          <t>ANET</t>
        </is>
      </c>
      <c r="B14" s="36" t="inlineStr">
        <is>
          <t>Buy</t>
        </is>
      </c>
      <c r="C14" s="37">
        <f>ANET!B4</f>
        <v/>
      </c>
      <c r="D14" s="37">
        <f>ANET!B5</f>
        <v/>
      </c>
      <c r="E14" s="37">
        <f>ANET!B6</f>
        <v/>
      </c>
      <c r="F14" s="38">
        <f>ANET!B9</f>
        <v/>
      </c>
      <c r="G14" s="39">
        <f>ANET!B10</f>
        <v/>
      </c>
      <c r="H14" s="39">
        <f>ANET!B11</f>
        <v/>
      </c>
      <c r="I14" s="40">
        <f>ANET!B16</f>
        <v/>
      </c>
      <c r="J14" s="36" t="inlineStr">
        <is>
          <t>Aug 4~</t>
        </is>
      </c>
      <c r="K14" s="36" t="inlineStr">
        <is>
          <t>Asym 0.29x — weakest top-10 R/R; review Aug 4</t>
        </is>
      </c>
    </row>
    <row r="15" ht="15" customHeight="1" s="31">
      <c r="A15" s="36" t="inlineStr">
        <is>
          <t>BE</t>
        </is>
      </c>
      <c r="B15" s="36" t="inlineStr">
        <is>
          <t>Buy</t>
        </is>
      </c>
      <c r="C15" s="37">
        <f>BE!B4</f>
        <v/>
      </c>
      <c r="D15" s="37">
        <f>BE!B5</f>
        <v/>
      </c>
      <c r="E15" s="37">
        <f>BE!B6</f>
        <v/>
      </c>
      <c r="F15" s="38">
        <f>BE!B9</f>
        <v/>
      </c>
      <c r="G15" s="39">
        <f>BE!B10</f>
        <v/>
      </c>
      <c r="H15" s="39">
        <f>BE!B11</f>
        <v/>
      </c>
      <c r="I15" s="40">
        <f>BE!B16</f>
        <v/>
      </c>
      <c r="J15" s="36" t="inlineStr">
        <is>
          <t>Jul 28</t>
        </is>
      </c>
      <c r="K15" s="36" t="inlineStr">
        <is>
          <t>EV/Rev anchor; P/E n/a</t>
        </is>
      </c>
    </row>
    <row r="16" ht="15" customHeight="1" s="31">
      <c r="A16" s="36" t="inlineStr">
        <is>
          <t>AMAT</t>
        </is>
      </c>
      <c r="B16" s="36" t="inlineStr">
        <is>
          <t>Buy</t>
        </is>
      </c>
      <c r="C16" s="37">
        <f>AMAT!B4</f>
        <v/>
      </c>
      <c r="D16" s="37">
        <f>AMAT!B5</f>
        <v/>
      </c>
      <c r="E16" s="37">
        <f>AMAT!B6</f>
        <v/>
      </c>
      <c r="F16" s="38">
        <f>AMAT!B9</f>
        <v/>
      </c>
      <c r="G16" s="39">
        <f>AMAT!B10</f>
        <v/>
      </c>
      <c r="H16" s="39">
        <f>AMAT!B11</f>
        <v/>
      </c>
      <c r="I16" s="40">
        <f>AMAT!B16</f>
        <v/>
      </c>
      <c r="J16" s="36" t="inlineStr">
        <is>
          <t>Aug 13</t>
        </is>
      </c>
      <c r="K16" s="36" t="inlineStr">
        <is>
          <t>Bear = $350–400 range midpoint. PT hit 6/30 — forward PT question open</t>
        </is>
      </c>
    </row>
    <row r="17" ht="15" customHeight="1" s="31">
      <c r="A17" s="36" t="inlineStr">
        <is>
          <t>APLD</t>
        </is>
      </c>
      <c r="B17" s="36" t="inlineStr">
        <is>
          <t>Buy</t>
        </is>
      </c>
      <c r="C17" s="37">
        <f>APLD!B4</f>
        <v/>
      </c>
      <c r="D17" s="37">
        <f>APLD!B5</f>
        <v/>
      </c>
      <c r="E17" s="37">
        <f>APLD!B6</f>
        <v/>
      </c>
      <c r="F17" s="38">
        <f>APLD!B9</f>
        <v/>
      </c>
      <c r="G17" s="39">
        <f>APLD!B10</f>
        <v/>
      </c>
      <c r="H17" s="39">
        <f>APLD!B11</f>
        <v/>
      </c>
      <c r="I17" s="40">
        <f>APLD!B16</f>
        <v/>
      </c>
      <c r="J17" s="36" t="inlineStr">
        <is>
          <t>Aug 20</t>
        </is>
      </c>
      <c r="K17" s="36" t="inlineStr">
        <is>
          <t>EPS-negative — P/E n/a; EV/capacity framework (see note)</t>
        </is>
      </c>
    </row>
    <row r="18" ht="15" customHeight="1" s="31">
      <c r="A18" s="36" t="inlineStr">
        <is>
          <t>CAT</t>
        </is>
      </c>
      <c r="B18" s="36" t="inlineStr">
        <is>
          <t>Buy</t>
        </is>
      </c>
      <c r="C18" s="37">
        <f>CAT!B4</f>
        <v/>
      </c>
      <c r="D18" s="37">
        <f>CAT!B5</f>
        <v/>
      </c>
      <c r="E18" s="37">
        <f>CAT!B6</f>
        <v/>
      </c>
      <c r="F18" s="38">
        <f>CAT!B9</f>
        <v/>
      </c>
      <c r="G18" s="39">
        <f>CAT!B10</f>
        <v/>
      </c>
      <c r="H18" s="39">
        <f>CAT!B11</f>
        <v/>
      </c>
      <c r="I18" s="40">
        <f>CAT!B16</f>
        <v/>
      </c>
      <c r="J18" s="36" t="inlineStr">
        <is>
          <t>Aug 4</t>
        </is>
      </c>
      <c r="K18" s="36" t="inlineStr">
        <is>
          <t>Re-underwrite due Jul 29 print — NTM cons unverified at 7/2 entry</t>
        </is>
      </c>
    </row>
    <row r="19" ht="15" customHeight="1" s="31">
      <c r="A19" s="36" t="inlineStr">
        <is>
          <t>CCJ</t>
        </is>
      </c>
      <c r="B19" s="36" t="inlineStr">
        <is>
          <t>Buy</t>
        </is>
      </c>
      <c r="C19" s="37">
        <f>CCJ!B4</f>
        <v/>
      </c>
      <c r="D19" s="37">
        <f>CCJ!B5</f>
        <v/>
      </c>
      <c r="E19" s="37">
        <f>CCJ!B6</f>
        <v/>
      </c>
      <c r="F19" s="38">
        <f>CCJ!B9</f>
        <v/>
      </c>
      <c r="G19" s="39">
        <f>CCJ!B10</f>
        <v/>
      </c>
      <c r="H19" s="39">
        <f>CCJ!B11</f>
        <v/>
      </c>
      <c r="I19" s="40">
        <f>CCJ!B16</f>
        <v/>
      </c>
      <c r="J19" s="36" t="inlineStr">
        <is>
          <t>Jul 31</t>
        </is>
      </c>
      <c r="K19" s="41" t="inlineStr">
        <is>
          <t>⚠️ Bear $107 ABOVE price — bear stale after −13% drawdown; refresh at Jul 31</t>
        </is>
      </c>
    </row>
    <row r="20" ht="15" customHeight="1" s="31">
      <c r="A20" s="36" t="inlineStr">
        <is>
          <t>CLS</t>
        </is>
      </c>
      <c r="B20" s="36" t="inlineStr">
        <is>
          <t>Buy</t>
        </is>
      </c>
      <c r="C20" s="37">
        <f>CLS!B4</f>
        <v/>
      </c>
      <c r="D20" s="37">
        <f>CLS!B5</f>
        <v/>
      </c>
      <c r="E20" s="37">
        <f>CLS!B6</f>
        <v/>
      </c>
      <c r="F20" s="38">
        <f>CLS!B9</f>
        <v/>
      </c>
      <c r="G20" s="39">
        <f>CLS!B10</f>
        <v/>
      </c>
      <c r="H20" s="39">
        <f>CLS!B11</f>
        <v/>
      </c>
      <c r="I20" s="40">
        <f>CLS!B16</f>
        <v/>
      </c>
      <c r="J20" s="36" t="inlineStr">
        <is>
          <t>Jul 27</t>
        </is>
      </c>
      <c r="K20" s="36" t="inlineStr">
        <is>
          <t>June-3 batch PT — anchor undocumented</t>
        </is>
      </c>
    </row>
    <row r="21" ht="15" customHeight="1" s="31">
      <c r="A21" s="36" t="inlineStr">
        <is>
          <t>DLR</t>
        </is>
      </c>
      <c r="B21" s="36" t="inlineStr">
        <is>
          <t>Buy</t>
        </is>
      </c>
      <c r="C21" s="37">
        <f>DLR!B4</f>
        <v/>
      </c>
      <c r="D21" s="37">
        <f>DLR!B5</f>
        <v/>
      </c>
      <c r="E21" s="37">
        <f>DLR!B6</f>
        <v/>
      </c>
      <c r="F21" s="38">
        <f>DLR!B9</f>
        <v/>
      </c>
      <c r="G21" s="39">
        <f>DLR!B10</f>
        <v/>
      </c>
      <c r="H21" s="39">
        <f>DLR!B11</f>
        <v/>
      </c>
      <c r="I21" s="40">
        <f>DLR!B16</f>
        <v/>
      </c>
      <c r="J21" s="36" t="inlineStr">
        <is>
          <t>Jul 23</t>
        </is>
      </c>
      <c r="K21" s="36" t="inlineStr">
        <is>
          <t>REIT — estimates are core-FFO-adjacent; P/E view approximate</t>
        </is>
      </c>
    </row>
    <row r="22" ht="15" customHeight="1" s="31">
      <c r="A22" s="36" t="inlineStr">
        <is>
          <t>FN</t>
        </is>
      </c>
      <c r="B22" s="36" t="inlineStr">
        <is>
          <t>Buy</t>
        </is>
      </c>
      <c r="C22" s="37">
        <f>FN!B4</f>
        <v/>
      </c>
      <c r="D22" s="37">
        <f>FN!B5</f>
        <v/>
      </c>
      <c r="E22" s="37">
        <f>FN!B6</f>
        <v/>
      </c>
      <c r="F22" s="38">
        <f>FN!B9</f>
        <v/>
      </c>
      <c r="G22" s="39">
        <f>FN!B10</f>
        <v/>
      </c>
      <c r="H22" s="39">
        <f>FN!B11</f>
        <v/>
      </c>
      <c r="I22" s="40">
        <f>FN!B16</f>
        <v/>
      </c>
      <c r="J22" s="36" t="inlineStr">
        <is>
          <t>Aug 18</t>
        </is>
      </c>
      <c r="K22" s="36" t="inlineStr">
        <is>
          <t>June-3 batch PT — anchor undocumented</t>
        </is>
      </c>
    </row>
    <row r="23" ht="15" customHeight="1" s="31">
      <c r="A23" s="36" t="inlineStr">
        <is>
          <t>GNRC</t>
        </is>
      </c>
      <c r="B23" s="36" t="inlineStr">
        <is>
          <t>Buy</t>
        </is>
      </c>
      <c r="C23" s="37">
        <f>GNRC!B4</f>
        <v/>
      </c>
      <c r="D23" s="37">
        <f>GNRC!B5</f>
        <v/>
      </c>
      <c r="E23" s="37">
        <f>GNRC!B6</f>
        <v/>
      </c>
      <c r="F23" s="38">
        <f>GNRC!B9</f>
        <v/>
      </c>
      <c r="G23" s="39">
        <f>GNRC!B10</f>
        <v/>
      </c>
      <c r="H23" s="39">
        <f>GNRC!B11</f>
        <v/>
      </c>
      <c r="I23" s="40">
        <f>GNRC!B16</f>
        <v/>
      </c>
      <c r="J23" s="36" t="inlineStr">
        <is>
          <t>Jul 29</t>
        </is>
      </c>
      <c r="K23" s="36" t="inlineStr">
        <is>
          <t>June-3 batch PT — anchor undocumented</t>
        </is>
      </c>
    </row>
    <row r="24" ht="15" customHeight="1" s="31">
      <c r="A24" s="36" t="inlineStr">
        <is>
          <t>HUBB</t>
        </is>
      </c>
      <c r="B24" s="36" t="inlineStr">
        <is>
          <t>Buy</t>
        </is>
      </c>
      <c r="C24" s="37">
        <f>HUBB!B4</f>
        <v/>
      </c>
      <c r="D24" s="37">
        <f>HUBB!B5</f>
        <v/>
      </c>
      <c r="E24" s="37">
        <f>HUBB!B6</f>
        <v/>
      </c>
      <c r="F24" s="38">
        <f>HUBB!B9</f>
        <v/>
      </c>
      <c r="G24" s="39">
        <f>HUBB!B10</f>
        <v/>
      </c>
      <c r="H24" s="39">
        <f>HUBB!B11</f>
        <v/>
      </c>
      <c r="I24" s="40">
        <f>HUBB!B16</f>
        <v/>
      </c>
      <c r="J24" s="36" t="inlineStr">
        <is>
          <t>Jul 28~</t>
        </is>
      </c>
      <c r="K24" s="36" t="inlineStr">
        <is>
          <t>June-3 batch PT — anchor undocumented</t>
        </is>
      </c>
    </row>
    <row r="25" ht="15" customHeight="1" s="31">
      <c r="A25" s="36" t="inlineStr">
        <is>
          <t>IRM</t>
        </is>
      </c>
      <c r="B25" s="36" t="inlineStr">
        <is>
          <t>Buy</t>
        </is>
      </c>
      <c r="C25" s="37">
        <f>IRM!B4</f>
        <v/>
      </c>
      <c r="D25" s="37">
        <f>IRM!B5</f>
        <v/>
      </c>
      <c r="E25" s="37">
        <f>IRM!B6</f>
        <v/>
      </c>
      <c r="F25" s="38">
        <f>IRM!B9</f>
        <v/>
      </c>
      <c r="G25" s="39">
        <f>IRM!B10</f>
        <v/>
      </c>
      <c r="H25" s="39">
        <f>IRM!B11</f>
        <v/>
      </c>
      <c r="I25" s="40">
        <f>IRM!B16</f>
        <v/>
      </c>
      <c r="J25" s="36" t="inlineStr">
        <is>
          <t>Jul 30</t>
        </is>
      </c>
      <c r="K25" s="36" t="inlineStr">
        <is>
          <t>REIT — estimates are AFFO-adjacent; P/E view approximate</t>
        </is>
      </c>
    </row>
    <row r="26" ht="15" customHeight="1" s="31">
      <c r="A26" s="36" t="inlineStr">
        <is>
          <t>LITE</t>
        </is>
      </c>
      <c r="B26" s="36" t="inlineStr">
        <is>
          <t>Buy</t>
        </is>
      </c>
      <c r="C26" s="37">
        <f>LITE!B4</f>
        <v/>
      </c>
      <c r="D26" s="37">
        <f>LITE!B5</f>
        <v/>
      </c>
      <c r="E26" s="37">
        <f>LITE!B6</f>
        <v/>
      </c>
      <c r="F26" s="38">
        <f>LITE!B9</f>
        <v/>
      </c>
      <c r="G26" s="39">
        <f>LITE!B10</f>
        <v/>
      </c>
      <c r="H26" s="39">
        <f>LITE!B11</f>
        <v/>
      </c>
      <c r="I26" s="40">
        <f>LITE!B16</f>
        <v/>
      </c>
      <c r="J26" s="36" t="inlineStr">
        <is>
          <t>Aug 20</t>
        </is>
      </c>
      <c r="K26" s="36" t="inlineStr">
        <is>
          <t>Revenue-multiple anchor; P/E secondary</t>
        </is>
      </c>
    </row>
    <row r="27" ht="15" customHeight="1" s="31">
      <c r="A27" s="36" t="inlineStr">
        <is>
          <t>MOD</t>
        </is>
      </c>
      <c r="B27" s="36" t="inlineStr">
        <is>
          <t>Buy</t>
        </is>
      </c>
      <c r="C27" s="37">
        <f>MOD!B4</f>
        <v/>
      </c>
      <c r="D27" s="37">
        <f>MOD!B5</f>
        <v/>
      </c>
      <c r="E27" s="37">
        <f>MOD!B6</f>
        <v/>
      </c>
      <c r="F27" s="38">
        <f>MOD!B9</f>
        <v/>
      </c>
      <c r="G27" s="39">
        <f>MOD!B10</f>
        <v/>
      </c>
      <c r="H27" s="39">
        <f>MOD!B11</f>
        <v/>
      </c>
      <c r="I27" s="40">
        <f>MOD!B16</f>
        <v/>
      </c>
      <c r="J27" s="36" t="inlineStr">
        <is>
          <t>Jul 29</t>
        </is>
      </c>
      <c r="K27" s="36" t="inlineStr">
        <is>
          <t>June-3 batch PT — anchor undocumented</t>
        </is>
      </c>
    </row>
    <row r="28" ht="15" customHeight="1" s="31">
      <c r="A28" s="36" t="inlineStr">
        <is>
          <t>MP</t>
        </is>
      </c>
      <c r="B28" s="36" t="inlineStr">
        <is>
          <t>Buy</t>
        </is>
      </c>
      <c r="C28" s="37">
        <f>MP!B4</f>
        <v/>
      </c>
      <c r="D28" s="37">
        <f>MP!B5</f>
        <v/>
      </c>
      <c r="E28" s="37">
        <f>MP!B6</f>
        <v/>
      </c>
      <c r="F28" s="38">
        <f>MP!B9</f>
        <v/>
      </c>
      <c r="G28" s="39">
        <f>MP!B10</f>
        <v/>
      </c>
      <c r="H28" s="39">
        <f>MP!B11</f>
        <v/>
      </c>
      <c r="I28" s="40">
        <f>MP!B16</f>
        <v/>
      </c>
      <c r="J28" s="36" t="inlineStr">
        <is>
          <t>Aug 6</t>
        </is>
      </c>
      <c r="K28" s="36" t="inlineStr">
        <is>
          <t>Near-zero EPS — P/E distorted; strategic-asset framework</t>
        </is>
      </c>
    </row>
    <row r="29" ht="15" customHeight="1" s="31">
      <c r="A29" s="36" t="inlineStr">
        <is>
          <t>MRVL</t>
        </is>
      </c>
      <c r="B29" s="36" t="inlineStr">
        <is>
          <t>Buy</t>
        </is>
      </c>
      <c r="C29" s="37">
        <f>MRVL!B4</f>
        <v/>
      </c>
      <c r="D29" s="37">
        <f>MRVL!B5</f>
        <v/>
      </c>
      <c r="E29" s="37">
        <f>MRVL!B6</f>
        <v/>
      </c>
      <c r="F29" s="38">
        <f>MRVL!B9</f>
        <v/>
      </c>
      <c r="G29" s="39">
        <f>MRVL!B10</f>
        <v/>
      </c>
      <c r="H29" s="39">
        <f>MRVL!B11</f>
        <v/>
      </c>
      <c r="I29" s="40">
        <f>MRVL!B16</f>
        <v/>
      </c>
      <c r="J29" s="36" t="inlineStr">
        <is>
          <t>Aug 27</t>
        </is>
      </c>
      <c r="K29" s="36" t="inlineStr">
        <is>
          <t>Queued from top-10 pass; anchor undocumented</t>
        </is>
      </c>
    </row>
    <row r="30" ht="15" customHeight="1" s="31">
      <c r="A30" s="36" t="inlineStr">
        <is>
          <t>NBIS</t>
        </is>
      </c>
      <c r="B30" s="36" t="inlineStr">
        <is>
          <t>Buy</t>
        </is>
      </c>
      <c r="C30" s="37">
        <f>NBIS!B4</f>
        <v/>
      </c>
      <c r="D30" s="37">
        <f>NBIS!B5</f>
        <v/>
      </c>
      <c r="E30" s="37">
        <f>NBIS!B6</f>
        <v/>
      </c>
      <c r="F30" s="38">
        <f>NBIS!B9</f>
        <v/>
      </c>
      <c r="G30" s="39">
        <f>NBIS!B10</f>
        <v/>
      </c>
      <c r="H30" s="39">
        <f>NBIS!B11</f>
        <v/>
      </c>
      <c r="I30" s="40">
        <f>NBIS!B16</f>
        <v/>
      </c>
      <c r="J30" s="36" t="inlineStr">
        <is>
          <t>Aug 6~</t>
        </is>
      </c>
      <c r="K30" s="36" t="inlineStr">
        <is>
          <t>EPS-negative — revenue-multiple name; P/E n/a</t>
        </is>
      </c>
    </row>
    <row r="31" ht="15" customHeight="1" s="31">
      <c r="A31" s="36" t="inlineStr">
        <is>
          <t>SPXC</t>
        </is>
      </c>
      <c r="B31" s="36" t="inlineStr">
        <is>
          <t>Buy</t>
        </is>
      </c>
      <c r="C31" s="37">
        <f>SPXC!B4</f>
        <v/>
      </c>
      <c r="D31" s="37">
        <f>SPXC!B5</f>
        <v/>
      </c>
      <c r="E31" s="37">
        <f>SPXC!B6</f>
        <v/>
      </c>
      <c r="F31" s="38">
        <f>SPXC!B9</f>
        <v/>
      </c>
      <c r="G31" s="39">
        <f>SPXC!B10</f>
        <v/>
      </c>
      <c r="H31" s="39">
        <f>SPXC!B11</f>
        <v/>
      </c>
      <c r="I31" s="40">
        <f>SPXC!B16</f>
        <v/>
      </c>
      <c r="J31" s="36" t="inlineStr">
        <is>
          <t>Jul 30</t>
        </is>
      </c>
      <c r="K31" s="36" t="inlineStr">
        <is>
          <t>June-3 batch PT — anchor undocumented</t>
        </is>
      </c>
    </row>
    <row r="32" ht="15" customHeight="1" s="31">
      <c r="A32" s="36" t="inlineStr">
        <is>
          <t>UUUU</t>
        </is>
      </c>
      <c r="B32" s="36" t="inlineStr">
        <is>
          <t>Hold (Spec)</t>
        </is>
      </c>
      <c r="C32" s="37">
        <f>UUUU!B4</f>
        <v/>
      </c>
      <c r="D32" s="37">
        <f>UUUU!B5</f>
        <v/>
      </c>
      <c r="E32" s="37">
        <f>UUUU!B6</f>
        <v/>
      </c>
      <c r="F32" s="38">
        <f>UUUU!B9</f>
        <v/>
      </c>
      <c r="G32" s="39">
        <f>UUUU!B10</f>
        <v/>
      </c>
      <c r="H32" s="39">
        <f>UUUU!B11</f>
        <v/>
      </c>
      <c r="I32" s="40">
        <f>UUUU!B16</f>
        <v/>
      </c>
      <c r="J32" s="36" t="inlineStr">
        <is>
          <t>Aug 7</t>
        </is>
      </c>
      <c r="K32" s="42" t="inlineStr">
        <is>
          <t>⚠️ PT SUSPENDED 7/7 (was $25 — embedded 21x rev growth); downgraded Buy→Hold(Spec); position ratification owed</t>
        </is>
      </c>
    </row>
    <row r="33" ht="15" customHeight="1" s="31">
      <c r="A33" s="36" t="inlineStr">
        <is>
          <t>XYL</t>
        </is>
      </c>
      <c r="B33" s="36" t="inlineStr">
        <is>
          <t>Buy</t>
        </is>
      </c>
      <c r="C33" s="37">
        <f>XYL!B4</f>
        <v/>
      </c>
      <c r="D33" s="37">
        <f>XYL!B5</f>
        <v/>
      </c>
      <c r="E33" s="37">
        <f>XYL!B6</f>
        <v/>
      </c>
      <c r="F33" s="38">
        <f>XYL!B9</f>
        <v/>
      </c>
      <c r="G33" s="39">
        <f>XYL!B10</f>
        <v/>
      </c>
      <c r="H33" s="39">
        <f>XYL!B11</f>
        <v/>
      </c>
      <c r="I33" s="40">
        <f>XYL!B16</f>
        <v/>
      </c>
      <c r="J33" s="36" t="inlineStr">
        <is>
          <t>Jul 28</t>
        </is>
      </c>
      <c r="K33" s="36" t="inlineStr">
        <is>
          <t>Clean</t>
        </is>
      </c>
    </row>
    <row r="34"/>
    <row r="35" ht="15" customHeight="1" s="31">
      <c r="A35" s="35" t="inlineStr">
        <is>
          <t>HOLD-RATED (28)</t>
        </is>
      </c>
    </row>
    <row r="36" ht="15" customHeight="1" s="31">
      <c r="A36" s="36" t="inlineStr">
        <is>
          <t>ASML</t>
        </is>
      </c>
      <c r="B36" s="36" t="inlineStr">
        <is>
          <t>Hold</t>
        </is>
      </c>
      <c r="C36" s="37">
        <f>ASML!B4</f>
        <v/>
      </c>
      <c r="D36" s="37">
        <f>ASML!B5</f>
        <v/>
      </c>
      <c r="E36" s="37">
        <f>ASML!B6</f>
        <v/>
      </c>
      <c r="F36" s="38">
        <f>ASML!B9</f>
        <v/>
      </c>
      <c r="G36" s="39">
        <f>ASML!B10</f>
        <v/>
      </c>
      <c r="H36" s="39">
        <f>ASML!B11</f>
        <v/>
      </c>
      <c r="I36" s="40">
        <f>ASML!B16</f>
        <v/>
      </c>
      <c r="J36" s="36" t="inlineStr">
        <is>
          <t>Jul 15</t>
        </is>
      </c>
      <c r="K36" s="41" t="inlineStr">
        <is>
          <t>⚠️ PT stale + no bear — BOTH set at Jul 15 reset. Price back above stale PT</t>
        </is>
      </c>
    </row>
    <row r="37" ht="15" customHeight="1" s="31">
      <c r="A37" s="36" t="inlineStr">
        <is>
          <t>BW</t>
        </is>
      </c>
      <c r="B37" s="36" t="inlineStr">
        <is>
          <t>Hold</t>
        </is>
      </c>
      <c r="C37" s="37">
        <f>BW!B4</f>
        <v/>
      </c>
      <c r="D37" s="37">
        <f>BW!B5</f>
        <v/>
      </c>
      <c r="E37" s="37">
        <f>BW!B6</f>
        <v/>
      </c>
      <c r="F37" s="38">
        <f>BW!B9</f>
        <v/>
      </c>
      <c r="G37" s="39">
        <f>BW!B10</f>
        <v/>
      </c>
      <c r="H37" s="39">
        <f>BW!B11</f>
        <v/>
      </c>
      <c r="I37" s="40">
        <f>BW!B16</f>
        <v/>
      </c>
      <c r="J37" s="36" t="inlineStr">
        <is>
          <t>Aug 10</t>
        </is>
      </c>
      <c r="K37" s="36" t="inlineStr">
        <is>
          <t>EV/Rev name; P/E distorted. Upgrade ≤$9 (16% away) or refi/2nd hyperscaler</t>
        </is>
      </c>
    </row>
    <row r="38" ht="15" customHeight="1" s="31">
      <c r="A38" s="36" t="inlineStr">
        <is>
          <t>COHR</t>
        </is>
      </c>
      <c r="B38" s="36" t="inlineStr">
        <is>
          <t>Hold</t>
        </is>
      </c>
      <c r="C38" s="37">
        <f>COHR!B4</f>
        <v/>
      </c>
      <c r="D38" s="37">
        <f>COHR!B5</f>
        <v/>
      </c>
      <c r="E38" s="37">
        <f>COHR!B6</f>
        <v/>
      </c>
      <c r="F38" s="38">
        <f>COHR!B9</f>
        <v/>
      </c>
      <c r="G38" s="39">
        <f>COHR!B10</f>
        <v/>
      </c>
      <c r="H38" s="39">
        <f>COHR!B11</f>
        <v/>
      </c>
      <c r="I38" s="40">
        <f>COHR!B16</f>
        <v/>
      </c>
      <c r="J38" s="36" t="inlineStr">
        <is>
          <t>Aug 12</t>
        </is>
      </c>
      <c r="K38" s="41" t="inlineStr">
        <is>
          <t>⚠️ No bear logged — asymmetry incomputable</t>
        </is>
      </c>
    </row>
    <row r="39" ht="15" customHeight="1" s="31">
      <c r="A39" s="36" t="inlineStr">
        <is>
          <t>CRDO</t>
        </is>
      </c>
      <c r="B39" s="36" t="inlineStr">
        <is>
          <t>Hold</t>
        </is>
      </c>
      <c r="C39" s="37">
        <f>CRDO!B4</f>
        <v/>
      </c>
      <c r="D39" s="37">
        <f>CRDO!B5</f>
        <v/>
      </c>
      <c r="E39" s="37">
        <f>CRDO!B6</f>
        <v/>
      </c>
      <c r="F39" s="38">
        <f>CRDO!B9</f>
        <v/>
      </c>
      <c r="G39" s="39">
        <f>CRDO!B10</f>
        <v/>
      </c>
      <c r="H39" s="39">
        <f>CRDO!B11</f>
        <v/>
      </c>
      <c r="I39" s="40">
        <f>CRDO!B16</f>
        <v/>
      </c>
      <c r="J39" s="36" t="inlineStr">
        <is>
          <t>Sep 2</t>
        </is>
      </c>
      <c r="K39" s="41" t="inlineStr">
        <is>
          <t>⚠️ No bear logged. Was in Hold-PT-Watch band (−1.4%)</t>
        </is>
      </c>
    </row>
    <row r="40" ht="15" customHeight="1" s="31">
      <c r="A40" s="36" t="inlineStr">
        <is>
          <t>EME</t>
        </is>
      </c>
      <c r="B40" s="36" t="inlineStr">
        <is>
          <t>Hold</t>
        </is>
      </c>
      <c r="C40" s="37">
        <f>EME!B4</f>
        <v/>
      </c>
      <c r="D40" s="37">
        <f>EME!B5</f>
        <v/>
      </c>
      <c r="E40" s="37">
        <f>EME!B6</f>
        <v/>
      </c>
      <c r="F40" s="38">
        <f>EME!B9</f>
        <v/>
      </c>
      <c r="G40" s="39">
        <f>EME!B10</f>
        <v/>
      </c>
      <c r="H40" s="39">
        <f>EME!B11</f>
        <v/>
      </c>
      <c r="I40" s="40">
        <f>EME!B16</f>
        <v/>
      </c>
      <c r="J40" s="36" t="inlineStr">
        <is>
          <t>Jul 30</t>
        </is>
      </c>
      <c r="K40" s="36" t="inlineStr">
        <is>
          <t>Add zone ≤$660 (asym ≥1.9x); alert live. Q2 upgrade gate: RPO&gt;$16.5B + EPS≥$7.50 + guide≥$31</t>
        </is>
      </c>
    </row>
    <row r="41" ht="15" customHeight="1" s="31">
      <c r="A41" s="36" t="inlineStr">
        <is>
          <t>EQIX</t>
        </is>
      </c>
      <c r="B41" s="36" t="inlineStr">
        <is>
          <t>Hold</t>
        </is>
      </c>
      <c r="C41" s="37">
        <f>EQIX!B4</f>
        <v/>
      </c>
      <c r="D41" s="37">
        <f>EQIX!B5</f>
        <v/>
      </c>
      <c r="E41" s="37">
        <f>EQIX!B6</f>
        <v/>
      </c>
      <c r="F41" s="38">
        <f>EQIX!B9</f>
        <v/>
      </c>
      <c r="G41" s="39">
        <f>EQIX!B10</f>
        <v/>
      </c>
      <c r="H41" s="39">
        <f>EQIX!B11</f>
        <v/>
      </c>
      <c r="I41" s="40">
        <f>EQIX!B16</f>
        <v/>
      </c>
      <c r="J41" s="36" t="inlineStr">
        <is>
          <t>Jul 29</t>
        </is>
      </c>
      <c r="K41" s="41" t="inlineStr">
        <is>
          <t>REIT (AFFO-adjacent) + ⚠️ no bear logged</t>
        </is>
      </c>
    </row>
    <row r="42" ht="15" customHeight="1" s="31">
      <c r="A42" s="36" t="inlineStr">
        <is>
          <t>ETN</t>
        </is>
      </c>
      <c r="B42" s="36" t="inlineStr">
        <is>
          <t>Hold</t>
        </is>
      </c>
      <c r="C42" s="37">
        <f>ETN!B4</f>
        <v/>
      </c>
      <c r="D42" s="37">
        <f>ETN!B5</f>
        <v/>
      </c>
      <c r="E42" s="37">
        <f>ETN!B6</f>
        <v/>
      </c>
      <c r="F42" s="38">
        <f>ETN!B9</f>
        <v/>
      </c>
      <c r="G42" s="39">
        <f>ETN!B10</f>
        <v/>
      </c>
      <c r="H42" s="39">
        <f>ETN!B11</f>
        <v/>
      </c>
      <c r="I42" s="40">
        <f>ETN!B16</f>
        <v/>
      </c>
      <c r="J42" s="36" t="inlineStr">
        <is>
          <t>Aug 4</t>
        </is>
      </c>
      <c r="K42" s="41" t="inlineStr">
        <is>
          <t>⚠️ No bear logged — asymmetry incomputable</t>
        </is>
      </c>
    </row>
    <row r="43" ht="15" customHeight="1" s="31">
      <c r="A43" s="36" t="inlineStr">
        <is>
          <t>FCEL</t>
        </is>
      </c>
      <c r="B43" s="36" t="inlineStr">
        <is>
          <t>Hold</t>
        </is>
      </c>
      <c r="C43" s="37">
        <f>FCEL!B4</f>
        <v/>
      </c>
      <c r="D43" s="37">
        <f>FCEL!B5</f>
        <v/>
      </c>
      <c r="E43" s="37">
        <f>FCEL!B6</f>
        <v/>
      </c>
      <c r="F43" s="38">
        <f>FCEL!B9</f>
        <v/>
      </c>
      <c r="G43" s="39">
        <f>FCEL!B10</f>
        <v/>
      </c>
      <c r="H43" s="39">
        <f>FCEL!B11</f>
        <v/>
      </c>
      <c r="I43" s="40">
        <f>FCEL!B16</f>
        <v/>
      </c>
      <c r="J43" s="36" t="inlineStr">
        <is>
          <t>Sep 1 (FQ)</t>
        </is>
      </c>
      <c r="K43" s="36" t="inlineStr">
        <is>
          <t>EPS-negative. $200M offering 7/7 AH (~10–11.5% dilution) — watch pricing</t>
        </is>
      </c>
    </row>
    <row r="44" ht="15" customHeight="1" s="31">
      <c r="A44" s="36" t="inlineStr">
        <is>
          <t>FCX</t>
        </is>
      </c>
      <c r="B44" s="36" t="inlineStr">
        <is>
          <t>Hold</t>
        </is>
      </c>
      <c r="C44" s="37">
        <f>FCX!B4</f>
        <v/>
      </c>
      <c r="D44" s="37">
        <f>FCX!B5</f>
        <v/>
      </c>
      <c r="E44" s="37">
        <f>FCX!B6</f>
        <v/>
      </c>
      <c r="F44" s="38">
        <f>FCX!B9</f>
        <v/>
      </c>
      <c r="G44" s="39">
        <f>FCX!B10</f>
        <v/>
      </c>
      <c r="H44" s="39">
        <f>FCX!B11</f>
        <v/>
      </c>
      <c r="I44" s="40">
        <f>FCX!B16</f>
        <v/>
      </c>
      <c r="J44" s="36" t="inlineStr">
        <is>
          <t>Jul 23</t>
        </is>
      </c>
      <c r="K44" s="41" t="inlineStr">
        <is>
          <t>⚠️ No $-bear logged (commodity-deck bear) — asymmetry incomputable</t>
        </is>
      </c>
    </row>
    <row r="45" ht="15" customHeight="1" s="31">
      <c r="A45" s="36" t="inlineStr">
        <is>
          <t>GLW</t>
        </is>
      </c>
      <c r="B45" s="36" t="inlineStr">
        <is>
          <t>Hold</t>
        </is>
      </c>
      <c r="C45" s="37">
        <f>GLW!B4</f>
        <v/>
      </c>
      <c r="D45" s="37">
        <f>GLW!B5</f>
        <v/>
      </c>
      <c r="E45" s="37">
        <f>GLW!B6</f>
        <v/>
      </c>
      <c r="F45" s="38">
        <f>GLW!B9</f>
        <v/>
      </c>
      <c r="G45" s="39">
        <f>GLW!B10</f>
        <v/>
      </c>
      <c r="H45" s="39">
        <f>GLW!B11</f>
        <v/>
      </c>
      <c r="I45" s="40">
        <f>GLW!B16</f>
        <v/>
      </c>
      <c r="J45" s="36" t="inlineStr">
        <is>
          <t>Jul 28</t>
        </is>
      </c>
      <c r="K45" s="41" t="inlineStr">
        <is>
          <t>⚠️ No bear logged. Retired from Hold-PT-Watch band 7/7 (−12%)</t>
        </is>
      </c>
    </row>
    <row r="46" ht="15" customHeight="1" s="31">
      <c r="A46" s="36" t="inlineStr">
        <is>
          <t>HUT</t>
        </is>
      </c>
      <c r="B46" s="36" t="inlineStr">
        <is>
          <t>Hold</t>
        </is>
      </c>
      <c r="C46" s="37">
        <f>HUT!B4</f>
        <v/>
      </c>
      <c r="D46" s="37">
        <f>HUT!B5</f>
        <v/>
      </c>
      <c r="E46" s="37">
        <f>HUT!B6</f>
        <v/>
      </c>
      <c r="F46" s="38">
        <f>HUT!B9</f>
        <v/>
      </c>
      <c r="G46" s="39">
        <f>HUT!B10</f>
        <v/>
      </c>
      <c r="H46" s="39">
        <f>HUT!B11</f>
        <v/>
      </c>
      <c r="I46" s="40">
        <f>HUT!B16</f>
        <v/>
      </c>
      <c r="J46" s="36" t="inlineStr">
        <is>
          <t>Aug 6</t>
        </is>
      </c>
      <c r="K46" s="41" t="inlineStr">
        <is>
          <t>EPS-negative + ⚠️ no bear logged</t>
        </is>
      </c>
    </row>
    <row r="47" ht="15" customHeight="1" s="31">
      <c r="A47" s="36" t="inlineStr">
        <is>
          <t>INTC</t>
        </is>
      </c>
      <c r="B47" s="36" t="inlineStr">
        <is>
          <t>Hold</t>
        </is>
      </c>
      <c r="C47" s="37">
        <f>INTC!B4</f>
        <v/>
      </c>
      <c r="D47" s="37">
        <f>INTC!B5</f>
        <v/>
      </c>
      <c r="E47" s="37">
        <f>INTC!B6</f>
        <v/>
      </c>
      <c r="F47" s="38">
        <f>INTC!B9</f>
        <v/>
      </c>
      <c r="G47" s="39">
        <f>INTC!B10</f>
        <v/>
      </c>
      <c r="H47" s="39">
        <f>INTC!B11</f>
        <v/>
      </c>
      <c r="I47" s="40">
        <f>INTC!B16</f>
        <v/>
      </c>
      <c r="J47" s="36" t="inlineStr">
        <is>
          <t>Jul 23</t>
        </is>
      </c>
      <c r="K47" s="36" t="inlineStr">
        <is>
          <t>Owed post-✗ PT reset — due at Jul 23 print (per Hold PT Watch)</t>
        </is>
      </c>
    </row>
    <row r="48" ht="15" customHeight="1" s="31">
      <c r="A48" s="36" t="inlineStr">
        <is>
          <t>IREN</t>
        </is>
      </c>
      <c r="B48" s="36" t="inlineStr">
        <is>
          <t>Hold</t>
        </is>
      </c>
      <c r="C48" s="37">
        <f>IREN!B4</f>
        <v/>
      </c>
      <c r="D48" s="37">
        <f>IREN!B5</f>
        <v/>
      </c>
      <c r="E48" s="37">
        <f>IREN!B6</f>
        <v/>
      </c>
      <c r="F48" s="38">
        <f>IREN!B9</f>
        <v/>
      </c>
      <c r="G48" s="39">
        <f>IREN!B10</f>
        <v/>
      </c>
      <c r="H48" s="39">
        <f>IREN!B11</f>
        <v/>
      </c>
      <c r="I48" s="40">
        <f>IREN!B16</f>
        <v/>
      </c>
      <c r="J48" s="36" t="inlineStr">
        <is>
          <t>Aug 27 (FQ)</t>
        </is>
      </c>
      <c r="K48" s="41" t="inlineStr">
        <is>
          <t>EPS-negative + ⚠️ no bear logged. PT 81% above price — stale?</t>
        </is>
      </c>
    </row>
    <row r="49" ht="15" customHeight="1" s="31">
      <c r="A49" s="36" t="inlineStr">
        <is>
          <t>KLAC</t>
        </is>
      </c>
      <c r="B49" s="36" t="inlineStr">
        <is>
          <t>Hold</t>
        </is>
      </c>
      <c r="C49" s="37">
        <f>KLAC!B4</f>
        <v/>
      </c>
      <c r="D49" s="37">
        <f>KLAC!B5</f>
        <v/>
      </c>
      <c r="E49" s="37">
        <f>KLAC!B6</f>
        <v/>
      </c>
      <c r="F49" s="38">
        <f>KLAC!B9</f>
        <v/>
      </c>
      <c r="G49" s="39">
        <f>KLAC!B10</f>
        <v/>
      </c>
      <c r="H49" s="39">
        <f>KLAC!B11</f>
        <v/>
      </c>
      <c r="I49" s="40">
        <f>KLAC!B16</f>
        <v/>
      </c>
      <c r="J49" s="36" t="inlineStr">
        <is>
          <t>Jul 28</t>
        </is>
      </c>
      <c r="K49" s="36" t="inlineStr">
        <is>
          <t>Post-split estimates ($1.00/$1.13). Asym ~0.7x at close</t>
        </is>
      </c>
    </row>
    <row r="50" ht="15" customHeight="1" s="31">
      <c r="A50" s="36" t="inlineStr">
        <is>
          <t>MKSI</t>
        </is>
      </c>
      <c r="B50" s="36" t="inlineStr">
        <is>
          <t>Hold</t>
        </is>
      </c>
      <c r="C50" s="37">
        <f>MKSI!B4</f>
        <v/>
      </c>
      <c r="D50" s="37">
        <f>MKSI!B5</f>
        <v/>
      </c>
      <c r="E50" s="37">
        <f>MKSI!B6</f>
        <v/>
      </c>
      <c r="F50" s="38">
        <f>MKSI!B9</f>
        <v/>
      </c>
      <c r="G50" s="39">
        <f>MKSI!B10</f>
        <v/>
      </c>
      <c r="H50" s="39">
        <f>MKSI!B11</f>
        <v/>
      </c>
      <c r="I50" s="40">
        <f>MKSI!B16</f>
        <v/>
      </c>
      <c r="J50" s="36" t="inlineStr">
        <is>
          <t>Aug 5</t>
        </is>
      </c>
      <c r="K50" s="36" t="inlineStr">
        <is>
          <t>Upgrade gate: leverage &lt;2.5x AND asym ≥1.5x (≤$318)</t>
        </is>
      </c>
    </row>
    <row r="51" ht="15" customHeight="1" s="31">
      <c r="A51" s="36" t="inlineStr">
        <is>
          <t>MPWR</t>
        </is>
      </c>
      <c r="B51" s="36" t="inlineStr">
        <is>
          <t>Hold</t>
        </is>
      </c>
      <c r="C51" s="37">
        <f>MPWR!B4</f>
        <v/>
      </c>
      <c r="D51" s="37">
        <f>MPWR!B5</f>
        <v/>
      </c>
      <c r="E51" s="37">
        <f>MPWR!B6</f>
        <v/>
      </c>
      <c r="F51" s="38">
        <f>MPWR!B9</f>
        <v/>
      </c>
      <c r="G51" s="39">
        <f>MPWR!B10</f>
        <v/>
      </c>
      <c r="H51" s="39">
        <f>MPWR!B11</f>
        <v/>
      </c>
      <c r="I51" s="40">
        <f>MPWR!B16</f>
        <v/>
      </c>
      <c r="J51" s="36" t="inlineStr">
        <is>
          <t>Jul 30</t>
        </is>
      </c>
      <c r="K51" s="41" t="inlineStr">
        <is>
          <t>⚠️ No bear logged. PT 34% above price — stale?</t>
        </is>
      </c>
    </row>
    <row r="52" ht="15" customHeight="1" s="31">
      <c r="A52" s="36" t="inlineStr">
        <is>
          <t>NVT</t>
        </is>
      </c>
      <c r="B52" s="36" t="inlineStr">
        <is>
          <t>Hold</t>
        </is>
      </c>
      <c r="C52" s="37">
        <f>NVT!B4</f>
        <v/>
      </c>
      <c r="D52" s="37">
        <f>NVT!B5</f>
        <v/>
      </c>
      <c r="E52" s="37">
        <f>NVT!B6</f>
        <v/>
      </c>
      <c r="F52" s="38">
        <f>NVT!B9</f>
        <v/>
      </c>
      <c r="G52" s="39">
        <f>NVT!B10</f>
        <v/>
      </c>
      <c r="H52" s="39">
        <f>NVT!B11</f>
        <v/>
      </c>
      <c r="I52" s="40">
        <f>NVT!B16</f>
        <v/>
      </c>
      <c r="J52" s="36" t="inlineStr">
        <is>
          <t>Jul 31</t>
        </is>
      </c>
      <c r="K52" s="41" t="inlineStr">
        <is>
          <t>⚠️ No bear logged — asymmetry incomputable</t>
        </is>
      </c>
    </row>
    <row r="53" ht="15" customHeight="1" s="31">
      <c r="A53" s="36" t="inlineStr">
        <is>
          <t>ON</t>
        </is>
      </c>
      <c r="B53" s="36" t="inlineStr">
        <is>
          <t>Hold</t>
        </is>
      </c>
      <c r="C53" s="37">
        <f>ON!B4</f>
        <v/>
      </c>
      <c r="D53" s="37">
        <f>ON!B5</f>
        <v/>
      </c>
      <c r="E53" s="37">
        <f>ON!B6</f>
        <v/>
      </c>
      <c r="F53" s="38">
        <f>ON!B9</f>
        <v/>
      </c>
      <c r="G53" s="39">
        <f>ON!B10</f>
        <v/>
      </c>
      <c r="H53" s="39">
        <f>ON!B11</f>
        <v/>
      </c>
      <c r="I53" s="40">
        <f>ON!B16</f>
        <v/>
      </c>
      <c r="J53" s="36" t="inlineStr">
        <is>
          <t>Aug 3</t>
        </is>
      </c>
      <c r="K53" s="36" t="inlineStr">
        <is>
          <t>Re-entry: synergy proof or $70–75 pullback</t>
        </is>
      </c>
    </row>
    <row r="54" ht="15" customHeight="1" s="31">
      <c r="A54" s="36" t="inlineStr">
        <is>
          <t>PWR</t>
        </is>
      </c>
      <c r="B54" s="36" t="inlineStr">
        <is>
          <t>Hold</t>
        </is>
      </c>
      <c r="C54" s="37">
        <f>PWR!B4</f>
        <v/>
      </c>
      <c r="D54" s="37">
        <f>PWR!B5</f>
        <v/>
      </c>
      <c r="E54" s="37">
        <f>PWR!B6</f>
        <v/>
      </c>
      <c r="F54" s="38">
        <f>PWR!B9</f>
        <v/>
      </c>
      <c r="G54" s="39">
        <f>PWR!B10</f>
        <v/>
      </c>
      <c r="H54" s="39">
        <f>PWR!B11</f>
        <v/>
      </c>
      <c r="I54" s="40">
        <f>PWR!B16</f>
        <v/>
      </c>
      <c r="J54" s="36" t="inlineStr">
        <is>
          <t>Jul 30</t>
        </is>
      </c>
      <c r="K54" s="41" t="inlineStr">
        <is>
          <t>⚠️ No bear logged. Hold-PT-Watch band edge (−3.4%)</t>
        </is>
      </c>
    </row>
    <row r="55" ht="15" customHeight="1" s="31">
      <c r="A55" s="36" t="inlineStr">
        <is>
          <t>SCCO</t>
        </is>
      </c>
      <c r="B55" s="36" t="inlineStr">
        <is>
          <t>Hold</t>
        </is>
      </c>
      <c r="C55" s="37">
        <f>SCCO!B4</f>
        <v/>
      </c>
      <c r="D55" s="37">
        <f>SCCO!B5</f>
        <v/>
      </c>
      <c r="E55" s="37">
        <f>SCCO!B6</f>
        <v/>
      </c>
      <c r="F55" s="38">
        <f>SCCO!B9</f>
        <v/>
      </c>
      <c r="G55" s="39">
        <f>SCCO!B10</f>
        <v/>
      </c>
      <c r="H55" s="39">
        <f>SCCO!B11</f>
        <v/>
      </c>
      <c r="I55" s="40">
        <f>SCCO!B16</f>
        <v/>
      </c>
      <c r="J55" s="36" t="inlineStr">
        <is>
          <t>Jul 28</t>
        </is>
      </c>
      <c r="K55" s="41" t="inlineStr">
        <is>
          <t>⚠️ ABOVE PT (+2.9%) + no bear — Rule-2 decision owed at Jul 28 print</t>
        </is>
      </c>
    </row>
    <row r="56" ht="15" customHeight="1" s="31">
      <c r="A56" s="36" t="inlineStr">
        <is>
          <t>SNDK</t>
        </is>
      </c>
      <c r="B56" s="36" t="inlineStr">
        <is>
          <t>Hold</t>
        </is>
      </c>
      <c r="C56" s="37">
        <f>SNDK!B4</f>
        <v/>
      </c>
      <c r="D56" s="37">
        <f>SNDK!B5</f>
        <v/>
      </c>
      <c r="E56" s="37">
        <f>SNDK!B6</f>
        <v/>
      </c>
      <c r="F56" s="38">
        <f>SNDK!B9</f>
        <v/>
      </c>
      <c r="G56" s="39">
        <f>SNDK!B10</f>
        <v/>
      </c>
      <c r="H56" s="39">
        <f>SNDK!B11</f>
        <v/>
      </c>
      <c r="I56" s="40">
        <f>SNDK!B16</f>
        <v/>
      </c>
      <c r="J56" s="36" t="inlineStr">
        <is>
          <t>Aug 13</t>
        </is>
      </c>
      <c r="K56" s="36" t="inlineStr">
        <is>
          <t>Now 19% BELOW stale PT — asymmetry flipped favorable into gate</t>
        </is>
      </c>
    </row>
    <row r="57" ht="15" customHeight="1" s="31">
      <c r="A57" s="36" t="inlineStr">
        <is>
          <t>STX</t>
        </is>
      </c>
      <c r="B57" s="36" t="inlineStr">
        <is>
          <t>Hold</t>
        </is>
      </c>
      <c r="C57" s="37">
        <f>STX!B4</f>
        <v/>
      </c>
      <c r="D57" s="37">
        <f>STX!B5</f>
        <v/>
      </c>
      <c r="E57" s="37">
        <f>STX!B6</f>
        <v/>
      </c>
      <c r="F57" s="38">
        <f>STX!B9</f>
        <v/>
      </c>
      <c r="G57" s="39">
        <f>STX!B10</f>
        <v/>
      </c>
      <c r="H57" s="39">
        <f>STX!B11</f>
        <v/>
      </c>
      <c r="I57" s="40">
        <f>STX!B16</f>
        <v/>
      </c>
      <c r="J57" s="36" t="inlineStr">
        <is>
          <t>Jul 28</t>
        </is>
      </c>
      <c r="K57" s="41" t="inlineStr">
        <is>
          <t>⚠️ No bear logged. Deepen note before Jul 28 print</t>
        </is>
      </c>
    </row>
    <row r="58" ht="15" customHeight="1" s="31">
      <c r="A58" s="36" t="inlineStr">
        <is>
          <t>TOELY</t>
        </is>
      </c>
      <c r="B58" s="36" t="inlineStr">
        <is>
          <t>Hold</t>
        </is>
      </c>
      <c r="C58" s="37">
        <f>TOELY!B4</f>
        <v/>
      </c>
      <c r="D58" s="37">
        <f>TOELY!B5</f>
        <v/>
      </c>
      <c r="E58" s="37">
        <f>TOELY!B6</f>
        <v/>
      </c>
      <c r="F58" s="38">
        <f>TOELY!B9</f>
        <v/>
      </c>
      <c r="G58" s="39">
        <f>TOELY!B10</f>
        <v/>
      </c>
      <c r="H58" s="39">
        <f>TOELY!B11</f>
        <v/>
      </c>
      <c r="I58" s="40">
        <f>TOELY!B16</f>
        <v/>
      </c>
      <c r="J58" s="36" t="inlineStr">
        <is>
          <t>Jul 31 (est)</t>
        </is>
      </c>
      <c r="K58" s="36" t="inlineStr">
        <is>
          <t>No US consensus — vault EPS input. Upgrade: FY27H1 ¥-EPS ≥¥1,900 or ≤$150</t>
        </is>
      </c>
    </row>
    <row r="59" ht="15" customHeight="1" s="31">
      <c r="A59" s="36" t="inlineStr">
        <is>
          <t>TSEM</t>
        </is>
      </c>
      <c r="B59" s="36" t="inlineStr">
        <is>
          <t>Hold</t>
        </is>
      </c>
      <c r="C59" s="37">
        <f>TSEM!B4</f>
        <v/>
      </c>
      <c r="D59" s="37">
        <f>TSEM!B5</f>
        <v/>
      </c>
      <c r="E59" s="37">
        <f>TSEM!B6</f>
        <v/>
      </c>
      <c r="F59" s="38">
        <f>TSEM!B9</f>
        <v/>
      </c>
      <c r="G59" s="39">
        <f>TSEM!B10</f>
        <v/>
      </c>
      <c r="H59" s="39">
        <f>TSEM!B11</f>
        <v/>
      </c>
      <c r="I59" s="40">
        <f>TSEM!B16</f>
        <v/>
      </c>
      <c r="J59" s="36" t="inlineStr">
        <is>
          <t>Aug 6</t>
        </is>
      </c>
      <c r="K59" s="41" t="inlineStr">
        <is>
          <t>⚠️ No bear logged — asymmetry incomputable</t>
        </is>
      </c>
    </row>
    <row r="60" ht="15" customHeight="1" s="31">
      <c r="A60" s="36" t="inlineStr">
        <is>
          <t>TT</t>
        </is>
      </c>
      <c r="B60" s="36" t="inlineStr">
        <is>
          <t>Hold</t>
        </is>
      </c>
      <c r="C60" s="37">
        <f>TT!B4</f>
        <v/>
      </c>
      <c r="D60" s="37">
        <f>TT!B5</f>
        <v/>
      </c>
      <c r="E60" s="37">
        <f>TT!B6</f>
        <v/>
      </c>
      <c r="F60" s="38">
        <f>TT!B9</f>
        <v/>
      </c>
      <c r="G60" s="39">
        <f>TT!B10</f>
        <v/>
      </c>
      <c r="H60" s="39">
        <f>TT!B11</f>
        <v/>
      </c>
      <c r="I60" s="40">
        <f>TT!B16</f>
        <v/>
      </c>
      <c r="J60" s="36" t="inlineStr">
        <is>
          <t>Jul 29</t>
        </is>
      </c>
      <c r="K60" s="41" t="inlineStr">
        <is>
          <t>⚠️ No bear logged — asymmetry incomputable</t>
        </is>
      </c>
    </row>
    <row r="61" ht="15" customHeight="1" s="31">
      <c r="A61" s="36" t="inlineStr">
        <is>
          <t>WDC</t>
        </is>
      </c>
      <c r="B61" s="36" t="inlineStr">
        <is>
          <t>Hold</t>
        </is>
      </c>
      <c r="C61" s="37">
        <f>WDC!B4</f>
        <v/>
      </c>
      <c r="D61" s="37">
        <f>WDC!B5</f>
        <v/>
      </c>
      <c r="E61" s="37">
        <f>WDC!B6</f>
        <v/>
      </c>
      <c r="F61" s="38">
        <f>WDC!B9</f>
        <v/>
      </c>
      <c r="G61" s="39">
        <f>WDC!B10</f>
        <v/>
      </c>
      <c r="H61" s="39">
        <f>WDC!B11</f>
        <v/>
      </c>
      <c r="I61" s="40">
        <f>WDC!B16</f>
        <v/>
      </c>
      <c r="J61" s="36" t="inlineStr">
        <is>
          <t>Jul 29</t>
        </is>
      </c>
      <c r="K61" s="41" t="inlineStr">
        <is>
          <t>⚠️ No bear logged. Retired from watch band 7/7; deepen before Jul 29 print</t>
        </is>
      </c>
    </row>
    <row r="62" ht="15" customHeight="1" s="31">
      <c r="A62" s="36" t="inlineStr">
        <is>
          <t>WMB</t>
        </is>
      </c>
      <c r="B62" s="36" t="inlineStr">
        <is>
          <t>Hold</t>
        </is>
      </c>
      <c r="C62" s="37">
        <f>WMB!B4</f>
        <v/>
      </c>
      <c r="D62" s="37">
        <f>WMB!B5</f>
        <v/>
      </c>
      <c r="E62" s="37">
        <f>WMB!B6</f>
        <v/>
      </c>
      <c r="F62" s="38">
        <f>WMB!B9</f>
        <v/>
      </c>
      <c r="G62" s="39">
        <f>WMB!B10</f>
        <v/>
      </c>
      <c r="H62" s="39">
        <f>WMB!B11</f>
        <v/>
      </c>
      <c r="I62" s="40">
        <f>WMB!B16</f>
        <v/>
      </c>
      <c r="J62" s="36" t="inlineStr">
        <is>
          <t>Aug 3</t>
        </is>
      </c>
      <c r="K62" s="36" t="inlineStr">
        <is>
          <t>Upgrade ≤$65 or Transco acceleration Aug 3. Green through the unwind</t>
        </is>
      </c>
    </row>
    <row r="63" ht="15" customHeight="1" s="31">
      <c r="A63" s="36" t="inlineStr">
        <is>
          <t>SMNEY</t>
        </is>
      </c>
      <c r="B63" s="36" t="inlineStr">
        <is>
          <t>Hold</t>
        </is>
      </c>
      <c r="C63" s="37">
        <f>SMNEY!B4</f>
        <v/>
      </c>
      <c r="D63" s="37">
        <f>SMNEY!B5</f>
        <v/>
      </c>
      <c r="E63" s="37">
        <f>SMNEY!B6</f>
        <v/>
      </c>
      <c r="F63" s="38">
        <f>SMNEY!B9</f>
        <v/>
      </c>
      <c r="G63" s="39">
        <f>SMNEY!B10</f>
        <v/>
      </c>
      <c r="H63" s="39">
        <f>SMNEY!B11</f>
        <v/>
      </c>
      <c r="I63" s="40">
        <f>SMNEY!B16</f>
        <v/>
      </c>
      <c r="J63" s="36" t="inlineStr">
        <is>
          <t>Aug 6 (est)</t>
        </is>
      </c>
      <c r="K63" s="36" t="inlineStr">
        <is>
          <t>Derived pricing only (never FMP/OTC feeds). ENR.DE €155.30 × 0.2 × 1.1416 ⇒ ~$35.46</t>
        </is>
      </c>
    </row>
    <row r="64"/>
    <row r="65"/>
    <row r="66" ht="15" customHeight="1" s="31">
      <c r="A66" s="35" t="inlineStr">
        <is>
          <t>SYSTEMATIC FINDINGS (7/7 build):</t>
        </is>
      </c>
    </row>
    <row r="67" ht="15" customHeight="1" s="31">
      <c r="A67" s="36" t="inlineStr">
        <is>
          <t>1. RESOLVED 7/7 evening — screening bears set for all 16 (trough-mult × NTM, per-name basis on each tab, blue inputs); ASML bear still by-design at Jul 15 reset. REFINE EACH AT ITS PRINT. All 16 asym &lt;1.5x — Hold ratings validated; IREN 1.47x closest to Buy bar; SCCO negative (above PT).</t>
        </is>
      </c>
    </row>
    <row r="68" ht="15" customHeight="1" s="31">
      <c r="A68" s="36" t="inlineStr">
        <is>
          <t>2. RESOLVED 7/7 evening — implied anchors retro-documented (P/E@PT baseline, blue inputs on tabs; gap reads 0% by construction — meaningful only as drift baseline from here).</t>
        </is>
      </c>
    </row>
    <row r="69" ht="15" customHeight="1" s="31">
      <c r="A69" s="36" t="inlineStr">
        <is>
          <t>3. CCJ bear $107 is ABOVE the $94.67 price after the unwind — bear stale; refresh at Jul 31 print.</t>
        </is>
      </c>
    </row>
    <row r="70" ht="15" customHeight="1" s="31">
      <c r="A70" s="36" t="inlineStr">
        <is>
          <t>4. RESOLVED 7/7 evening — revenue-framework blocks added to the 8 EPS-negative/near-zero tabs (rows 31–44). KEY FINDINGS: UUUU PT $25 implies ~$1.25B NTM revenue vs $66M FY2025 actual (~19x embedded growth) — PT re-underwrite recommended; MP implies ~$2.0B vs $224M run-rate (~9x); APLD implies ~$4.3B (run-rate input to fill at Jul 29 print); NBIS implies ~$7.4B vs $1.6B annualized (~4.6x — aggressive but consistent with +684% YoY); BW reconciles cleanly ($857M implied ≈ $950M FY26E logged ✓). HUT/IREN have no revenue anchor — asset-based bear work owed at their prints.</t>
        </is>
      </c>
    </row>
    <row r="71" ht="15" customHeight="1" s="31">
      <c r="A71" s="36" t="inlineStr">
        <is>
          <t>5. Stale PTs gated to prints: ASML (Jul 15), SNDK (Aug 13), INTC reset owed (Jul 23). SCCO above PT with no bear — Rule-2 decision owed Jul 28.</t>
        </is>
      </c>
    </row>
    <row r="72" ht="15" customHeight="1" s="31">
      <c r="A72" s="36" t="inlineStr">
        <is>
          <t>6. REIT-adjacent estimates (DLR, EQIX, IRM) are FFO-like — P/E columns approximate.</t>
        </is>
      </c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GEV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1077.08</v>
      </c>
    </row>
    <row r="5" ht="15" customHeight="1" s="31">
      <c r="A5" s="36" t="inlineStr">
        <is>
          <t>Our PT ($)</t>
        </is>
      </c>
      <c r="B5" s="43" t="n">
        <v>1200</v>
      </c>
    </row>
    <row r="6" ht="15" customHeight="1" s="31">
      <c r="A6" s="36" t="inlineStr">
        <is>
          <t>Bear ($)</t>
        </is>
      </c>
      <c r="B6" s="43" t="n">
        <v>600</v>
      </c>
    </row>
    <row r="7" ht="15" customHeight="1" s="31">
      <c r="A7" s="36" t="inlineStr">
        <is>
          <t>Cons EPS — Q+1e</t>
        </is>
      </c>
      <c r="B7" s="44" t="n">
        <v>3.22</v>
      </c>
    </row>
    <row r="8" ht="15" customHeight="1" s="31">
      <c r="A8" s="36" t="inlineStr">
        <is>
          <t>Cons EPS — Q+2e</t>
        </is>
      </c>
      <c r="B8" s="44" t="n">
        <v>4.33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35</v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Thesis-driven — logged as 'NTM P/E 35x' (6/3)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35x anchor ≠ PT (79x NTM) — re-anchor Jul 22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CEG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239.71</v>
      </c>
    </row>
    <row r="5" ht="15" customHeight="1" s="31">
      <c r="A5" s="36" t="inlineStr">
        <is>
          <t>Our PT ($)</t>
        </is>
      </c>
      <c r="B5" s="43" t="n">
        <v>385</v>
      </c>
    </row>
    <row r="6" ht="15" customHeight="1" s="31">
      <c r="A6" s="36" t="inlineStr">
        <is>
          <t>Bear ($)</t>
        </is>
      </c>
      <c r="B6" s="43" t="n">
        <v>220</v>
      </c>
    </row>
    <row r="7" ht="15" customHeight="1" s="31">
      <c r="A7" s="36" t="inlineStr">
        <is>
          <t>Cons EPS — Q+1e</t>
        </is>
      </c>
      <c r="B7" s="44" t="n">
        <v>2.37</v>
      </c>
    </row>
    <row r="8" ht="15" customHeight="1" s="31">
      <c r="A8" s="36" t="inlineStr">
        <is>
          <t>Cons EPS — Q+2e</t>
        </is>
      </c>
      <c r="B8" s="44" t="n">
        <v>3.84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DCF + variant perception (EV/EBITDA; 14x exit in DCF)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EBITDA primary; P/E view distorted. PJM Jul 14; 9% above bear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NRG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138.01</v>
      </c>
    </row>
    <row r="5" ht="15" customHeight="1" s="31">
      <c r="A5" s="36" t="inlineStr">
        <is>
          <t>Our PT ($)</t>
        </is>
      </c>
      <c r="B5" s="43" t="n">
        <v>185</v>
      </c>
    </row>
    <row r="6" ht="15" customHeight="1" s="31">
      <c r="A6" s="36" t="inlineStr">
        <is>
          <t>Bear ($)</t>
        </is>
      </c>
      <c r="B6" s="43" t="n">
        <v>110</v>
      </c>
    </row>
    <row r="7" ht="15" customHeight="1" s="31">
      <c r="A7" s="36" t="inlineStr">
        <is>
          <t>Cons EPS — Q+1e</t>
        </is>
      </c>
      <c r="B7" s="44" t="n">
        <v>1.75</v>
      </c>
    </row>
    <row r="8" ht="15" customHeight="1" s="31">
      <c r="A8" s="36" t="inlineStr">
        <is>
          <t>Cons EPS — Q+2e</t>
        </is>
      </c>
      <c r="B8" s="44" t="n">
        <v>3.24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Variant perception (6/3)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Clean. PJM Jul 14 leg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VST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155.73</v>
      </c>
    </row>
    <row r="5" ht="15" customHeight="1" s="31">
      <c r="A5" s="36" t="inlineStr">
        <is>
          <t>Our PT ($)</t>
        </is>
      </c>
      <c r="B5" s="43" t="n">
        <v>230</v>
      </c>
    </row>
    <row r="6" ht="15" customHeight="1" s="31">
      <c r="A6" s="36" t="inlineStr">
        <is>
          <t>Bear ($)</t>
        </is>
      </c>
      <c r="B6" s="43" t="n">
        <v>145</v>
      </c>
    </row>
    <row r="7" ht="15" customHeight="1" s="31">
      <c r="A7" s="36" t="inlineStr">
        <is>
          <t>Cons EPS — Q+1e</t>
        </is>
      </c>
      <c r="B7" s="44" t="n">
        <v>2.21</v>
      </c>
    </row>
    <row r="8" ht="15" customHeight="1" s="31">
      <c r="A8" s="36" t="inlineStr">
        <is>
          <t>Cons EPS — Q+2e</t>
        </is>
      </c>
      <c r="B8" s="44" t="n">
        <v>2.37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Variant perception; bear re-underwritten 6/23 (9x $6.5B EBITDA ⇒ ~$105; MP bear $145)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Reconcile dual bear ($145 MP vs $105 re-uw) at Aug 7 print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MU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938.38</v>
      </c>
    </row>
    <row r="5" ht="15" customHeight="1" s="31">
      <c r="A5" s="36" t="inlineStr">
        <is>
          <t>Our PT ($)</t>
        </is>
      </c>
      <c r="B5" s="43" t="n">
        <v>1500</v>
      </c>
    </row>
    <row r="6" ht="15" customHeight="1" s="31">
      <c r="A6" s="36" t="inlineStr">
        <is>
          <t>Bear ($)</t>
        </is>
      </c>
      <c r="B6" s="43" t="n">
        <v>900</v>
      </c>
    </row>
    <row r="7" ht="15" customHeight="1" s="31">
      <c r="A7" s="36" t="inlineStr">
        <is>
          <t>Cons EPS — Q+1e</t>
        </is>
      </c>
      <c r="B7" s="44" t="n">
        <v>31.24</v>
      </c>
    </row>
    <row r="8" ht="15" customHeight="1" s="31">
      <c r="A8" s="36" t="inlineStr">
        <is>
          <t>Cons EPS — Q+2e</t>
        </is>
      </c>
      <c r="B8" s="44" t="n">
        <v>34.66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12.5</v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Catalyst Playbook upgrade (6/25) — 12.5x NTM ~$120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Conservative vs cons ($120 &lt; cons NTM $131.8). Close&lt;$900 protocol armed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AVGO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370.78</v>
      </c>
    </row>
    <row r="5" ht="15" customHeight="1" s="31">
      <c r="A5" s="36" t="inlineStr">
        <is>
          <t>Our PT ($)</t>
        </is>
      </c>
      <c r="B5" s="43" t="n">
        <v>560</v>
      </c>
    </row>
    <row r="6" ht="15" customHeight="1" s="31">
      <c r="A6" s="36" t="inlineStr">
        <is>
          <t>Bear ($)</t>
        </is>
      </c>
      <c r="B6" s="43" t="n">
        <v>350</v>
      </c>
    </row>
    <row r="7" ht="15" customHeight="1" s="31">
      <c r="A7" s="36" t="inlineStr">
        <is>
          <t>Cons EPS — Q+1e</t>
        </is>
      </c>
      <c r="B7" s="44" t="n">
        <v>3.16</v>
      </c>
    </row>
    <row r="8" ht="15" customHeight="1" s="31">
      <c r="A8" s="36" t="inlineStr">
        <is>
          <t>Cons EPS — Q+2e</t>
        </is>
      </c>
      <c r="B8" s="44" t="n">
        <v>3.79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EV/Revenue ~14x NTM (initiation); Buy reaffirmed 7/7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EV/Rev anchor; anchor-migration question (Sep 3)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LRCX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326.13</v>
      </c>
    </row>
    <row r="5" ht="15" customHeight="1" s="31">
      <c r="A5" s="36" t="inlineStr">
        <is>
          <t>Our PT ($)</t>
        </is>
      </c>
      <c r="B5" s="43" t="n">
        <v>450</v>
      </c>
    </row>
    <row r="6" ht="15" customHeight="1" s="31">
      <c r="A6" s="36" t="inlineStr">
        <is>
          <t>Bear ($)</t>
        </is>
      </c>
      <c r="B6" s="43" t="n">
        <v>200</v>
      </c>
    </row>
    <row r="7" ht="15" customHeight="1" s="31">
      <c r="A7" s="36" t="inlineStr">
        <is>
          <t>Cons EPS — Q+1e</t>
        </is>
      </c>
      <c r="B7" s="44" t="n">
        <v>1.68</v>
      </c>
    </row>
    <row r="8" ht="15" customHeight="1" s="31">
      <c r="A8" s="36" t="inlineStr">
        <is>
          <t>Cons EPS — Q+2e</t>
        </is>
      </c>
      <c r="B8" s="44" t="n">
        <v>1.81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60</v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Revised estimates (6/18) — ~60x FY27 EPS ~$7.25 ⇒ $435–472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Reconciles ~60–64x; Jul 29 adjudicates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VRT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305.58</v>
      </c>
    </row>
    <row r="5" ht="15" customHeight="1" s="31">
      <c r="A5" s="36" t="inlineStr">
        <is>
          <t>Our PT ($)</t>
        </is>
      </c>
      <c r="B5" s="43" t="n">
        <v>370</v>
      </c>
    </row>
    <row r="6" ht="15" customHeight="1" s="31">
      <c r="A6" s="36" t="inlineStr">
        <is>
          <t>Bear ($)</t>
        </is>
      </c>
      <c r="B6" s="43" t="n">
        <v>220</v>
      </c>
    </row>
    <row r="7" ht="15" customHeight="1" s="31">
      <c r="A7" s="36" t="inlineStr">
        <is>
          <t>Cons EPS — Q+1e</t>
        </is>
      </c>
      <c r="B7" s="44" t="n">
        <v>1.43</v>
      </c>
    </row>
    <row r="8" ht="15" customHeight="1" s="31">
      <c r="A8" s="36" t="inlineStr">
        <is>
          <t>Cons EPS — Q+2e</t>
        </is>
      </c>
      <c r="B8" s="44" t="n">
        <v>1.79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Thesis-driven (AI cooling pure-play); no logged multiple anchor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logged multiple anchor — set at Jul 29 print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ANET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166.46</v>
      </c>
    </row>
    <row r="5" ht="15" customHeight="1" s="31">
      <c r="A5" s="36" t="inlineStr">
        <is>
          <t>Our PT ($)</t>
        </is>
      </c>
      <c r="B5" s="43" t="n">
        <v>185</v>
      </c>
    </row>
    <row r="6" ht="15" customHeight="1" s="31">
      <c r="A6" s="36" t="inlineStr">
        <is>
          <t>Bear ($)</t>
        </is>
      </c>
      <c r="B6" s="43" t="n">
        <v>90</v>
      </c>
    </row>
    <row r="7" ht="15" customHeight="1" s="31">
      <c r="A7" s="36" t="inlineStr">
        <is>
          <t>Cons EPS — Q+1e</t>
        </is>
      </c>
      <c r="B7" s="44" t="n">
        <v>0.86</v>
      </c>
    </row>
    <row r="8" ht="15" customHeight="1" s="31">
      <c r="A8" s="36" t="inlineStr">
        <is>
          <t>Cons EPS — Q+2e</t>
        </is>
      </c>
      <c r="B8" s="44" t="n">
        <v>0.89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Thesis-driven (AI Ethernet)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Asym 0.29x — weakest top-10 R/R; review Aug 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BE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269.57</v>
      </c>
    </row>
    <row r="5" ht="15" customHeight="1" s="31">
      <c r="A5" s="36" t="inlineStr">
        <is>
          <t>Our PT ($)</t>
        </is>
      </c>
      <c r="B5" s="43" t="n">
        <v>330</v>
      </c>
    </row>
    <row r="6" ht="15" customHeight="1" s="31">
      <c r="A6" s="36" t="inlineStr">
        <is>
          <t>Bear ($)</t>
        </is>
      </c>
      <c r="B6" s="43" t="n">
        <v>120</v>
      </c>
    </row>
    <row r="7" ht="15" customHeight="1" s="31">
      <c r="A7" s="36" t="inlineStr">
        <is>
          <t>Cons EPS — Q+1e</t>
        </is>
      </c>
      <c r="B7" s="44" t="n">
        <v>0.36</v>
      </c>
    </row>
    <row r="8" ht="15" customHeight="1" s="31">
      <c r="A8" s="36" t="inlineStr">
        <is>
          <t>Cons EPS — Q+2e</t>
        </is>
      </c>
      <c r="B8" s="44" t="n">
        <v>0.48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EV/Revenue (per valuation snapshot)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EV/Rev anchor; P/E n/a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AMAT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554.5</v>
      </c>
    </row>
    <row r="5" ht="15" customHeight="1" s="31">
      <c r="A5" s="36" t="inlineStr">
        <is>
          <t>Our PT ($)</t>
        </is>
      </c>
      <c r="B5" s="43" t="n">
        <v>680</v>
      </c>
    </row>
    <row r="6" ht="15" customHeight="1" s="31">
      <c r="A6" s="36" t="inlineStr">
        <is>
          <t>Bear ($)</t>
        </is>
      </c>
      <c r="B6" s="43" t="n">
        <v>375</v>
      </c>
    </row>
    <row r="7" ht="15" customHeight="1" s="31">
      <c r="A7" s="36" t="inlineStr">
        <is>
          <t>Cons EPS — Q+1e</t>
        </is>
      </c>
      <c r="B7" s="44" t="n">
        <v>2.91</v>
      </c>
    </row>
    <row r="8" ht="15" customHeight="1" s="31">
      <c r="A8" s="36" t="inlineStr">
        <is>
          <t>Cons EPS — Q+2e</t>
        </is>
      </c>
      <c r="B8" s="44" t="n">
        <v>3.59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Comps/NTM P/E — PT $520→$680 (6/19); closed ✓ 6/30 at $723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Bear = $350–400 range midpoint. PT hit 6/30 — forward PT question open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APLD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30.71</v>
      </c>
    </row>
    <row r="5" ht="15" customHeight="1" s="31">
      <c r="A5" s="36" t="inlineStr">
        <is>
          <t>Our PT ($)</t>
        </is>
      </c>
      <c r="B5" s="43" t="n">
        <v>60</v>
      </c>
    </row>
    <row r="6" ht="15" customHeight="1" s="31">
      <c r="A6" s="36" t="inlineStr">
        <is>
          <t>Bear ($)</t>
        </is>
      </c>
      <c r="B6" s="43" t="n">
        <v>20</v>
      </c>
    </row>
    <row r="7" ht="15" customHeight="1" s="31">
      <c r="A7" s="36" t="inlineStr">
        <is>
          <t>Cons EPS — Q+1e</t>
        </is>
      </c>
      <c r="B7" s="44" t="n">
        <v>-0.36</v>
      </c>
    </row>
    <row r="8" ht="15" customHeight="1" s="31">
      <c r="A8" s="36" t="inlineStr">
        <is>
          <t>Cons EPS — Q+2e</t>
        </is>
      </c>
      <c r="B8" s="44" t="n">
        <v>-0.2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Thesis-driven (DC capacity + CoreWeave leases)</t>
        </is>
      </c>
    </row>
    <row r="21" ht="15" customHeight="1" s="31">
      <c r="A21" s="33" t="inlineStr">
        <is>
          <t>Grid omitted — EPS-negative / derived-price name; P/E framework not meaningful.</t>
        </is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EPS-negative — P/E n/a; EV/capacity framework (see note)</t>
        </is>
      </c>
    </row>
    <row r="31" ht="15" customHeight="1" s="31">
      <c r="A31" s="35" t="inlineStr">
        <is>
          <t>REVENUE FRAMEWORK (added 7/7 evening — EPS-negative/near-zero name)</t>
        </is>
      </c>
    </row>
    <row r="32" ht="15" customHeight="1" s="31">
      <c r="A32" s="33" t="inlineStr">
        <is>
          <t>Vault anchors used (consensus revenue unavailable on current data plan); audit = growth embedded in the PT.</t>
        </is>
      </c>
    </row>
    <row r="33" ht="15" customHeight="1" s="31">
      <c r="A33" s="36" t="inlineStr">
        <is>
          <t>Market cap 7/7 ($B)</t>
        </is>
      </c>
      <c r="B33" s="51" t="n">
        <v>8.776</v>
      </c>
    </row>
    <row r="34" ht="15" customHeight="1" s="31">
      <c r="A34" s="36" t="inlineStr">
        <is>
          <t>Net debt ($B)</t>
        </is>
      </c>
      <c r="B34" s="36" t="inlineStr">
        <is>
          <t>—</t>
        </is>
      </c>
    </row>
    <row r="35" ht="15" customHeight="1" s="31">
      <c r="A35" s="36" t="inlineStr">
        <is>
          <t>Vault revenue anchor (EV/Rev x)</t>
        </is>
      </c>
      <c r="B35" s="47" t="n">
        <v>4</v>
      </c>
    </row>
    <row r="36" ht="15" customHeight="1" s="31">
      <c r="A36" s="36" t="inlineStr">
        <is>
          <t>Run-rate revenue ($B)</t>
        </is>
      </c>
      <c r="B36" s="41" t="inlineStr">
        <is>
          <t>[FILL]</t>
        </is>
      </c>
      <c r="C36" s="33" t="inlineStr">
        <is>
          <t>[FILL — pull latest quarterly run-rate; Q4 FY2026 prints Jul 29]</t>
        </is>
      </c>
    </row>
    <row r="37" ht="15" customHeight="1" s="31">
      <c r="A37" s="30" t="inlineStr">
        <is>
          <t>Cap @ PT ($B)</t>
        </is>
      </c>
      <c r="B37" s="52">
        <f>B33*B5/B4</f>
        <v/>
      </c>
    </row>
    <row r="38" ht="15" customHeight="1" s="31">
      <c r="A38" s="30" t="inlineStr">
        <is>
          <t>EV @ PT ($B)</t>
        </is>
      </c>
      <c r="B38" s="52">
        <f>B37+IF(ISNUMBER(B34),B34,0)</f>
        <v/>
      </c>
    </row>
    <row r="39" ht="15" customHeight="1" s="31">
      <c r="A39" s="30" t="inlineStr">
        <is>
          <t>Implied NTM revenue the PT requires ($B)</t>
        </is>
      </c>
      <c r="B39" s="52">
        <f>IF(ISNUMBER(B35),B38/B35,"—")</f>
        <v/>
      </c>
    </row>
    <row r="40" ht="15" customHeight="1" s="31">
      <c r="A40" s="30" t="inlineStr">
        <is>
          <t>Growth embedded: implied rev ÷ run-rate</t>
        </is>
      </c>
      <c r="B40" s="46">
        <f>IF(AND(ISNUMBER(B39),ISNUMBER(B36)),B39/B36,"—")</f>
        <v/>
      </c>
    </row>
    <row r="41" ht="15" customHeight="1" s="31">
      <c r="A41" s="30" t="inlineStr">
        <is>
          <t>P/S at price (run-rate)</t>
        </is>
      </c>
      <c r="B41" s="46">
        <f>IF(ISNUMBER(B36),B33/B36,"—")</f>
        <v/>
      </c>
    </row>
    <row r="43" ht="15" customHeight="1" s="31">
      <c r="A43" s="35" t="inlineStr">
        <is>
          <t>Note:</t>
        </is>
      </c>
    </row>
    <row r="44" ht="15" customHeight="1" s="31">
      <c r="A44" s="36" t="inlineStr">
        <is>
          <t>EV/Rev 4x anchor. Net debt [VERIFY — refi was the 6/3 risk].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CAT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940.12</v>
      </c>
    </row>
    <row r="5" ht="15" customHeight="1" s="31">
      <c r="A5" s="36" t="inlineStr">
        <is>
          <t>Our PT ($)</t>
        </is>
      </c>
      <c r="B5" s="43" t="n">
        <v>1150</v>
      </c>
    </row>
    <row r="6" ht="15" customHeight="1" s="31">
      <c r="A6" s="36" t="inlineStr">
        <is>
          <t>Bear ($)</t>
        </is>
      </c>
      <c r="B6" s="43" t="n">
        <v>620</v>
      </c>
    </row>
    <row r="7" ht="15" customHeight="1" s="31">
      <c r="A7" s="36" t="inlineStr">
        <is>
          <t>Cons EPS — Q+1e</t>
        </is>
      </c>
      <c r="B7" s="44" t="n">
        <v>5.71</v>
      </c>
    </row>
    <row r="8" ht="15" customHeight="1" s="31">
      <c r="A8" s="36" t="inlineStr">
        <is>
          <t>Cons EPS — Q+2e</t>
        </is>
      </c>
      <c r="B8" s="44" t="n">
        <v>6.44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40</v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Comps 40x NTM ~$28.75, consensus-anchored (7/2, Screening Mode)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Re-underwrite due Jul 29 print — NTM cons unverified at 7/2 entry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CCJ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94.67</v>
      </c>
    </row>
    <row r="5" ht="15" customHeight="1" s="31">
      <c r="A5" s="36" t="inlineStr">
        <is>
          <t>Our PT ($)</t>
        </is>
      </c>
      <c r="B5" s="43" t="n">
        <v>140</v>
      </c>
    </row>
    <row r="6" ht="15" customHeight="1" s="31">
      <c r="A6" s="36" t="inlineStr">
        <is>
          <t>Bear ($)</t>
        </is>
      </c>
      <c r="B6" s="43" t="n">
        <v>107</v>
      </c>
    </row>
    <row r="7" ht="15" customHeight="1" s="31">
      <c r="A7" s="36" t="inlineStr">
        <is>
          <t>Cons EPS — Q+1e</t>
        </is>
      </c>
      <c r="B7" s="44" t="n">
        <v>0.37</v>
      </c>
    </row>
    <row r="8" ht="15" customHeight="1" s="31">
      <c r="A8" s="36" t="inlineStr">
        <is>
          <t>Cons EPS — Q+2e</t>
        </is>
      </c>
      <c r="B8" s="44" t="n">
        <v>0.14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Scenario framework (6/19); consensus-aligned ($140 vs street avg $137.86)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Bear $107 ABOVE price — bear stale after −13% drawdown; refresh at Jul 31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CLS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345.06</v>
      </c>
    </row>
    <row r="5" ht="15" customHeight="1" s="31">
      <c r="A5" s="36" t="inlineStr">
        <is>
          <t>Our PT ($)</t>
        </is>
      </c>
      <c r="B5" s="43" t="n">
        <v>530</v>
      </c>
    </row>
    <row r="6" ht="15" customHeight="1" s="31">
      <c r="A6" s="36" t="inlineStr">
        <is>
          <t>Bear ($)</t>
        </is>
      </c>
      <c r="B6" s="43" t="n">
        <v>250</v>
      </c>
    </row>
    <row r="7" ht="15" customHeight="1" s="31">
      <c r="A7" s="36" t="inlineStr">
        <is>
          <t>Cons EPS — Q+1e</t>
        </is>
      </c>
      <c r="B7" s="44" t="n">
        <v>2.27</v>
      </c>
    </row>
    <row r="8" ht="15" customHeight="1" s="31">
      <c r="A8" s="36" t="inlineStr">
        <is>
          <t>Cons EPS — Q+2e</t>
        </is>
      </c>
      <c r="B8" s="44" t="n">
        <v>2.65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54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June-3 batch PT — anchor undocumented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DLR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174.9</v>
      </c>
    </row>
    <row r="5" ht="15" customHeight="1" s="31">
      <c r="A5" s="36" t="inlineStr">
        <is>
          <t>Our PT ($)</t>
        </is>
      </c>
      <c r="B5" s="43" t="n">
        <v>205</v>
      </c>
    </row>
    <row r="6" ht="15" customHeight="1" s="31">
      <c r="A6" s="36" t="inlineStr">
        <is>
          <t>Bear ($)</t>
        </is>
      </c>
      <c r="B6" s="43" t="n">
        <v>140</v>
      </c>
    </row>
    <row r="7" ht="15" customHeight="1" s="31">
      <c r="A7" s="36" t="inlineStr">
        <is>
          <t>Cons EPS — Q+1e</t>
        </is>
      </c>
      <c r="B7" s="44" t="n">
        <v>1.98</v>
      </c>
    </row>
    <row r="8" ht="15" customHeight="1" s="31">
      <c r="A8" s="36" t="inlineStr">
        <is>
          <t>Cons EPS — Q+2e</t>
        </is>
      </c>
      <c r="B8" s="44" t="n">
        <v>2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26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REIT — estimates are core-FFO-adjacent; P/E view approximate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FN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468.48</v>
      </c>
    </row>
    <row r="5" ht="15" customHeight="1" s="31">
      <c r="A5" s="36" t="inlineStr">
        <is>
          <t>Our PT ($)</t>
        </is>
      </c>
      <c r="B5" s="43" t="n">
        <v>720</v>
      </c>
    </row>
    <row r="6" ht="15" customHeight="1" s="31">
      <c r="A6" s="36" t="inlineStr">
        <is>
          <t>Bear ($)</t>
        </is>
      </c>
      <c r="B6" s="43" t="n">
        <v>450</v>
      </c>
    </row>
    <row r="7" ht="15" customHeight="1" s="31">
      <c r="A7" s="36" t="inlineStr">
        <is>
          <t>Cons EPS — Q+1e</t>
        </is>
      </c>
      <c r="B7" s="44" t="n">
        <v>3.78</v>
      </c>
    </row>
    <row r="8" ht="15" customHeight="1" s="31">
      <c r="A8" s="36" t="inlineStr">
        <is>
          <t>Cons EPS — Q+2e</t>
        </is>
      </c>
      <c r="B8" s="44" t="n">
        <v>3.94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47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June-3 batch PT — anchor undocumented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GNRC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235.8</v>
      </c>
    </row>
    <row r="5" ht="15" customHeight="1" s="31">
      <c r="A5" s="36" t="inlineStr">
        <is>
          <t>Our PT ($)</t>
        </is>
      </c>
      <c r="B5" s="43" t="n">
        <v>320</v>
      </c>
    </row>
    <row r="6" ht="15" customHeight="1" s="31">
      <c r="A6" s="36" t="inlineStr">
        <is>
          <t>Bear ($)</t>
        </is>
      </c>
      <c r="B6" s="43" t="n">
        <v>175</v>
      </c>
    </row>
    <row r="7" ht="15" customHeight="1" s="31">
      <c r="A7" s="36" t="inlineStr">
        <is>
          <t>Cons EPS — Q+1e</t>
        </is>
      </c>
      <c r="B7" s="44" t="n">
        <v>1.99</v>
      </c>
    </row>
    <row r="8" ht="15" customHeight="1" s="31">
      <c r="A8" s="36" t="inlineStr">
        <is>
          <t>Cons EPS — Q+2e</t>
        </is>
      </c>
      <c r="B8" s="44" t="n">
        <v>2.55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35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(screener); backlog-visibility cohort per Lesson #1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June-3 batch PT — anchor undocumented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HUBB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478.89</v>
      </c>
    </row>
    <row r="5" ht="15" customHeight="1" s="31">
      <c r="A5" s="36" t="inlineStr">
        <is>
          <t>Our PT ($)</t>
        </is>
      </c>
      <c r="B5" s="43" t="n">
        <v>545</v>
      </c>
    </row>
    <row r="6" ht="15" customHeight="1" s="31">
      <c r="A6" s="36" t="inlineStr">
        <is>
          <t>Bear ($)</t>
        </is>
      </c>
      <c r="B6" s="43" t="n">
        <v>320</v>
      </c>
    </row>
    <row r="7" ht="15" customHeight="1" s="31">
      <c r="A7" s="36" t="inlineStr">
        <is>
          <t>Cons EPS — Q+1e</t>
        </is>
      </c>
      <c r="B7" s="44" t="n">
        <v>5.4</v>
      </c>
    </row>
    <row r="8" ht="15" customHeight="1" s="31">
      <c r="A8" s="36" t="inlineStr">
        <is>
          <t>Cons EPS — Q+2e</t>
        </is>
      </c>
      <c r="B8" s="44" t="n">
        <v>5.59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25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rating; brief 6/? (HUBB_brief)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June-3 batch PT — anchor undocumented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IRM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115.75</v>
      </c>
    </row>
    <row r="5" ht="15" customHeight="1" s="31">
      <c r="A5" s="36" t="inlineStr">
        <is>
          <t>Our PT ($)</t>
        </is>
      </c>
      <c r="B5" s="43" t="n">
        <v>145</v>
      </c>
    </row>
    <row r="6" ht="15" customHeight="1" s="31">
      <c r="A6" s="36" t="inlineStr">
        <is>
          <t>Bear ($)</t>
        </is>
      </c>
      <c r="B6" s="43" t="n">
        <v>100</v>
      </c>
    </row>
    <row r="7" ht="15" customHeight="1" s="31">
      <c r="A7" s="36" t="inlineStr">
        <is>
          <t>Cons EPS — Q+1e</t>
        </is>
      </c>
      <c r="B7" s="44" t="n">
        <v>1.28</v>
      </c>
    </row>
    <row r="8" ht="15" customHeight="1" s="31">
      <c r="A8" s="36" t="inlineStr">
        <is>
          <t>Cons EPS — Q+2e</t>
        </is>
      </c>
      <c r="B8" s="44" t="n">
        <v>1.35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28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REIT — estimates are AFFO-adjacent; P/E view approximate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LITE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698.91</v>
      </c>
    </row>
    <row r="5" ht="15" customHeight="1" s="31">
      <c r="A5" s="36" t="inlineStr">
        <is>
          <t>Our PT ($)</t>
        </is>
      </c>
      <c r="B5" s="43" t="n">
        <v>1150</v>
      </c>
    </row>
    <row r="6" ht="15" customHeight="1" s="31">
      <c r="A6" s="36" t="inlineStr">
        <is>
          <t>Bear ($)</t>
        </is>
      </c>
      <c r="B6" s="43" t="n">
        <v>600</v>
      </c>
    </row>
    <row r="7" ht="15" customHeight="1" s="31">
      <c r="A7" s="36" t="inlineStr">
        <is>
          <t>Cons EPS — Q+1e</t>
        </is>
      </c>
      <c r="B7" s="44" t="n">
        <v>2.89</v>
      </c>
    </row>
    <row r="8" ht="15" customHeight="1" s="31">
      <c r="A8" s="36" t="inlineStr">
        <is>
          <t>Cons EPS — Q+2e</t>
        </is>
      </c>
      <c r="B8" s="44" t="n">
        <v>3.51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~14x NTM revenue (AI optical premium)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Revenue-multiple anchor; P/E secondary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MOD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230.41</v>
      </c>
    </row>
    <row r="5" ht="15" customHeight="1" s="31">
      <c r="A5" s="36" t="inlineStr">
        <is>
          <t>Our PT ($)</t>
        </is>
      </c>
      <c r="B5" s="43" t="n">
        <v>355</v>
      </c>
    </row>
    <row r="6" ht="15" customHeight="1" s="31">
      <c r="A6" s="36" t="inlineStr">
        <is>
          <t>Bear ($)</t>
        </is>
      </c>
      <c r="B6" s="43" t="n">
        <v>150</v>
      </c>
    </row>
    <row r="7" ht="15" customHeight="1" s="31">
      <c r="A7" s="36" t="inlineStr">
        <is>
          <t>Cons EPS — Q+1e</t>
        </is>
      </c>
      <c r="B7" s="44" t="n">
        <v>1.38</v>
      </c>
    </row>
    <row r="8" ht="15" customHeight="1" s="31">
      <c r="A8" s="36" t="inlineStr">
        <is>
          <t>Cons EPS — Q+2e</t>
        </is>
      </c>
      <c r="B8" s="44" t="n">
        <v>1.77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56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June-3 batch PT — anchor undocumented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MP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50.49</v>
      </c>
    </row>
    <row r="5" ht="15" customHeight="1" s="31">
      <c r="A5" s="36" t="inlineStr">
        <is>
          <t>Our PT ($)</t>
        </is>
      </c>
      <c r="B5" s="43" t="n">
        <v>80</v>
      </c>
    </row>
    <row r="6" ht="15" customHeight="1" s="31">
      <c r="A6" s="36" t="inlineStr">
        <is>
          <t>Bear ($)</t>
        </is>
      </c>
      <c r="B6" s="43" t="n">
        <v>35</v>
      </c>
    </row>
    <row r="7" ht="15" customHeight="1" s="31">
      <c r="A7" s="36" t="inlineStr">
        <is>
          <t>Cons EPS — Q+1e</t>
        </is>
      </c>
      <c r="B7" s="44" t="n">
        <v>0.02</v>
      </c>
    </row>
    <row r="8" ht="15" customHeight="1" s="31">
      <c r="A8" s="36" t="inlineStr">
        <is>
          <t>Cons EPS — Q+2e</t>
        </is>
      </c>
      <c r="B8" s="44" t="n">
        <v>0.06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Thesis-driven (rare-earth strategic value)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Near-zero EPS — P/E distorted; strategic-asset framework</t>
        </is>
      </c>
    </row>
    <row r="31" ht="15" customHeight="1" s="31">
      <c r="A31" s="35" t="inlineStr">
        <is>
          <t>REVENUE FRAMEWORK (added 7/7 evening — EPS-negative/near-zero name)</t>
        </is>
      </c>
    </row>
    <row r="32" ht="15" customHeight="1" s="31">
      <c r="A32" s="33" t="inlineStr">
        <is>
          <t>Vault anchors used (consensus revenue unavailable on current data plan); audit = growth embedded in the PT.</t>
        </is>
      </c>
    </row>
    <row r="33" ht="15" customHeight="1" s="31">
      <c r="A33" s="36" t="inlineStr">
        <is>
          <t>Market cap 7/7 ($B)</t>
        </is>
      </c>
      <c r="B33" s="51" t="n">
        <v>8.988</v>
      </c>
    </row>
    <row r="34" ht="15" customHeight="1" s="31">
      <c r="A34" s="36" t="inlineStr">
        <is>
          <t>Net debt ($B)</t>
        </is>
      </c>
      <c r="B34" s="51" t="n">
        <v>1</v>
      </c>
    </row>
    <row r="35" ht="15" customHeight="1" s="31">
      <c r="A35" s="36" t="inlineStr">
        <is>
          <t>Vault revenue anchor (EV/Rev x)</t>
        </is>
      </c>
      <c r="B35" s="47" t="n">
        <v>7</v>
      </c>
    </row>
    <row r="36" ht="15" customHeight="1" s="31">
      <c r="A36" s="36" t="inlineStr">
        <is>
          <t>Run-rate revenue ($B)</t>
        </is>
      </c>
      <c r="B36" s="51" t="n">
        <v>0.224</v>
      </c>
      <c r="C36" s="33" t="inlineStr">
        <is>
          <t>note run-rate $224M</t>
        </is>
      </c>
    </row>
    <row r="37" ht="15" customHeight="1" s="31">
      <c r="A37" s="30" t="inlineStr">
        <is>
          <t>Cap @ PT ($B)</t>
        </is>
      </c>
      <c r="B37" s="52">
        <f>B33*B5/B4</f>
        <v/>
      </c>
    </row>
    <row r="38" ht="15" customHeight="1" s="31">
      <c r="A38" s="30" t="inlineStr">
        <is>
          <t>EV @ PT ($B)</t>
        </is>
      </c>
      <c r="B38" s="52">
        <f>B37+IF(ISNUMBER(B34),B34,0)</f>
        <v/>
      </c>
    </row>
    <row r="39" ht="15" customHeight="1" s="31">
      <c r="A39" s="30" t="inlineStr">
        <is>
          <t>Implied NTM revenue the PT requires ($B)</t>
        </is>
      </c>
      <c r="B39" s="52">
        <f>IF(ISNUMBER(B35),B38/B35,"—")</f>
        <v/>
      </c>
    </row>
    <row r="40" ht="15" customHeight="1" s="31">
      <c r="A40" s="30" t="inlineStr">
        <is>
          <t>Growth embedded: implied rev ÷ run-rate</t>
        </is>
      </c>
      <c r="B40" s="46">
        <f>IF(AND(ISNUMBER(B39),ISNUMBER(B36)),B39/B36,"—")</f>
        <v/>
      </c>
    </row>
    <row r="41" ht="15" customHeight="1" s="31">
      <c r="A41" s="30" t="inlineStr">
        <is>
          <t>P/S at price (run-rate)</t>
        </is>
      </c>
      <c r="B41" s="46">
        <f>IF(ISNUMBER(B36),B33/B36,"—")</f>
        <v/>
      </c>
    </row>
    <row r="43" ht="15" customHeight="1" s="31">
      <c r="A43" s="35" t="inlineStr">
        <is>
          <t>Note:</t>
        </is>
      </c>
    </row>
    <row r="44" ht="15" customHeight="1" s="31">
      <c r="A44" s="36" t="inlineStr">
        <is>
          <t>EV/Rev 7x anchor. Net debt ≈ $999M debt, cash [VERIFY].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MRVL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230.7</v>
      </c>
    </row>
    <row r="5" ht="15" customHeight="1" s="31">
      <c r="A5" s="36" t="inlineStr">
        <is>
          <t>Our PT ($)</t>
        </is>
      </c>
      <c r="B5" s="43" t="n">
        <v>370</v>
      </c>
    </row>
    <row r="6" ht="15" customHeight="1" s="31">
      <c r="A6" s="36" t="inlineStr">
        <is>
          <t>Bear ($)</t>
        </is>
      </c>
      <c r="B6" s="43" t="n">
        <v>180</v>
      </c>
    </row>
    <row r="7" ht="15" customHeight="1" s="31">
      <c r="A7" s="36" t="inlineStr">
        <is>
          <t>Cons EPS — Q+1e</t>
        </is>
      </c>
      <c r="B7" s="44" t="n">
        <v>0.87</v>
      </c>
    </row>
    <row r="8" ht="15" customHeight="1" s="31">
      <c r="A8" s="36" t="inlineStr">
        <is>
          <t>Cons EPS — Q+2e</t>
        </is>
      </c>
      <c r="B8" s="44" t="n">
        <v>1.02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Thesis-driven (custom ASIC #2)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Queued from top-10 pass; anchor undocumented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NBIS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195.19</v>
      </c>
    </row>
    <row r="5" ht="15" customHeight="1" s="31">
      <c r="A5" s="36" t="inlineStr">
        <is>
          <t>Our PT ($)</t>
        </is>
      </c>
      <c r="B5" s="43" t="n">
        <v>310</v>
      </c>
    </row>
    <row r="6" ht="15" customHeight="1" s="31">
      <c r="A6" s="36" t="inlineStr">
        <is>
          <t>Bear ($)</t>
        </is>
      </c>
      <c r="B6" s="43" t="n">
        <v>80</v>
      </c>
    </row>
    <row r="7" ht="15" customHeight="1" s="31">
      <c r="A7" s="36" t="inlineStr">
        <is>
          <t>Cons EPS — Q+1e</t>
        </is>
      </c>
      <c r="B7" s="44" t="n">
        <v>-0.73</v>
      </c>
    </row>
    <row r="8" ht="15" customHeight="1" s="31">
      <c r="A8" s="36" t="inlineStr">
        <is>
          <t>Cons EPS — Q+2e</t>
        </is>
      </c>
      <c r="B8" s="44" t="n">
        <v>-1.03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~10x NTM revenue — highest-growth name (+529% YoY)</t>
        </is>
      </c>
    </row>
    <row r="21" ht="15" customHeight="1" s="31">
      <c r="A21" s="33" t="inlineStr">
        <is>
          <t>Grid omitted — EPS-negative / derived-price name; P/E framework not meaningful.</t>
        </is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EPS-negative — revenue-multiple name; P/E n/a</t>
        </is>
      </c>
    </row>
    <row r="31" ht="15" customHeight="1" s="31">
      <c r="A31" s="35" t="inlineStr">
        <is>
          <t>REVENUE FRAMEWORK (added 7/7 evening — EPS-negative/near-zero name)</t>
        </is>
      </c>
    </row>
    <row r="32" ht="15" customHeight="1" s="31">
      <c r="A32" s="33" t="inlineStr">
        <is>
          <t>Vault anchors used (consensus revenue unavailable on current data plan); audit = growth embedded in the PT.</t>
        </is>
      </c>
    </row>
    <row r="33" ht="15" customHeight="1" s="31">
      <c r="A33" s="36" t="inlineStr">
        <is>
          <t>Market cap 7/7 ($B)</t>
        </is>
      </c>
      <c r="B33" s="51" t="n">
        <v>46.846</v>
      </c>
    </row>
    <row r="34" ht="15" customHeight="1" s="31">
      <c r="A34" s="36" t="inlineStr">
        <is>
          <t>Net debt ($B)</t>
        </is>
      </c>
      <c r="B34" s="51" t="n">
        <v>0</v>
      </c>
    </row>
    <row r="35" ht="15" customHeight="1" s="31">
      <c r="A35" s="36" t="inlineStr">
        <is>
          <t>Vault revenue anchor (EV/Rev x)</t>
        </is>
      </c>
      <c r="B35" s="47" t="n">
        <v>10</v>
      </c>
    </row>
    <row r="36" ht="15" customHeight="1" s="31">
      <c r="A36" s="36" t="inlineStr">
        <is>
          <t>Run-rate revenue ($B)</t>
        </is>
      </c>
      <c r="B36" s="51" t="n">
        <v>1.6</v>
      </c>
      <c r="C36" s="33" t="inlineStr">
        <is>
          <t>Q1'26 $399M × 4 (+684% YoY)</t>
        </is>
      </c>
    </row>
    <row r="37" ht="15" customHeight="1" s="31">
      <c r="A37" s="30" t="inlineStr">
        <is>
          <t>Cap @ PT ($B)</t>
        </is>
      </c>
      <c r="B37" s="52">
        <f>B33*B5/B4</f>
        <v/>
      </c>
    </row>
    <row r="38" ht="15" customHeight="1" s="31">
      <c r="A38" s="30" t="inlineStr">
        <is>
          <t>EV @ PT ($B)</t>
        </is>
      </c>
      <c r="B38" s="52">
        <f>B37+IF(ISNUMBER(B34),B34,0)</f>
        <v/>
      </c>
    </row>
    <row r="39" ht="15" customHeight="1" s="31">
      <c r="A39" s="30" t="inlineStr">
        <is>
          <t>Implied NTM revenue the PT requires ($B)</t>
        </is>
      </c>
      <c r="B39" s="52">
        <f>IF(ISNUMBER(B35),B38/B35,"—")</f>
        <v/>
      </c>
    </row>
    <row r="40" ht="15" customHeight="1" s="31">
      <c r="A40" s="30" t="inlineStr">
        <is>
          <t>Growth embedded: implied rev ÷ run-rate</t>
        </is>
      </c>
      <c r="B40" s="46">
        <f>IF(AND(ISNUMBER(B39),ISNUMBER(B36)),B39/B36,"—")</f>
        <v/>
      </c>
    </row>
    <row r="41" ht="15" customHeight="1" s="31">
      <c r="A41" s="30" t="inlineStr">
        <is>
          <t>P/S at price (run-rate)</t>
        </is>
      </c>
      <c r="B41" s="46">
        <f>IF(ISNUMBER(B36),B33/B36,"—")</f>
        <v/>
      </c>
    </row>
    <row r="43" ht="15" customHeight="1" s="31">
      <c r="A43" s="35" t="inlineStr">
        <is>
          <t>Note:</t>
        </is>
      </c>
    </row>
    <row r="44" ht="15" customHeight="1" s="31">
      <c r="A44" s="36" t="inlineStr">
        <is>
          <t>EV/Rev 10x anchor. Net debt ~0 assumed [VERIFY].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SPXC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218.83</v>
      </c>
    </row>
    <row r="5" ht="15" customHeight="1" s="31">
      <c r="A5" s="36" t="inlineStr">
        <is>
          <t>Our PT ($)</t>
        </is>
      </c>
      <c r="B5" s="43" t="n">
        <v>250</v>
      </c>
    </row>
    <row r="6" ht="15" customHeight="1" s="31">
      <c r="A6" s="36" t="inlineStr">
        <is>
          <t>Bear ($)</t>
        </is>
      </c>
      <c r="B6" s="43" t="n">
        <v>150</v>
      </c>
    </row>
    <row r="7" ht="15" customHeight="1" s="31">
      <c r="A7" s="36" t="inlineStr">
        <is>
          <t>Cons EPS — Q+1e</t>
        </is>
      </c>
      <c r="B7" s="44" t="n">
        <v>1.85</v>
      </c>
    </row>
    <row r="8" ht="15" customHeight="1" s="31">
      <c r="A8" s="36" t="inlineStr">
        <is>
          <t>Cons EPS — Q+2e</t>
        </is>
      </c>
      <c r="B8" s="44" t="n">
        <v>2.1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32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June-3 batch PT — anchor undocumented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UUUU — PT Audit Model — Hold (Speculative), PT SUSPENDED 7/7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12.86</v>
      </c>
    </row>
    <row r="5" ht="15" customHeight="1" s="31">
      <c r="A5" s="36" t="inlineStr">
        <is>
          <t>Our PT ($)</t>
        </is>
      </c>
      <c r="B5" s="43" t="n">
        <v>25</v>
      </c>
    </row>
    <row r="6" ht="15" customHeight="1" s="31">
      <c r="A6" s="36" t="inlineStr">
        <is>
          <t>Bear ($)</t>
        </is>
      </c>
      <c r="B6" s="43" t="n">
        <v>4</v>
      </c>
    </row>
    <row r="7" ht="15" customHeight="1" s="31">
      <c r="A7" s="36" t="inlineStr">
        <is>
          <t>Cons EPS — Q+1e</t>
        </is>
      </c>
      <c r="B7" s="44" t="n">
        <v>-0.04</v>
      </c>
    </row>
    <row r="8" ht="15" customHeight="1" s="31">
      <c r="A8" s="36" t="inlineStr">
        <is>
          <t>Cons EPS — Q+2e</t>
        </is>
      </c>
      <c r="B8" s="44" t="n">
        <v>-0.03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Thesis-driven (uranium + REE optionality)</t>
        </is>
      </c>
    </row>
    <row r="21" ht="15" customHeight="1" s="31">
      <c r="A21" s="33" t="inlineStr">
        <is>
          <t>Grid omitted — EPS-negative / derived-price name; P/E framework not meaningful.</t>
        </is>
      </c>
    </row>
    <row r="27" ht="15" customHeight="1" s="31">
      <c r="A27" s="35" t="inlineStr">
        <is>
          <t>Audit note:</t>
        </is>
      </c>
    </row>
    <row r="28" ht="15" customHeight="1" s="31">
      <c r="A28" s="42" t="inlineStr">
        <is>
          <t>PT $25 SUSPENDED 7/7 evening (this audit was the trigger): 5x anchor implies ~$1.37B NTM rev vs $66M FY2025 = 21x embedded growth. Downgraded Buy→Hold (Speculative), no PT. Bear $4 retained. See Decisions Log 7/7 + UUUU.md re-underwrite section. B5 kept for reference only — do not cite $25.</t>
        </is>
      </c>
    </row>
    <row r="31" ht="15" customHeight="1" s="31">
      <c r="A31" s="35" t="inlineStr">
        <is>
          <t>REVENUE FRAMEWORK (added 7/7 evening — EPS-negative/near-zero name)</t>
        </is>
      </c>
    </row>
    <row r="32" ht="15" customHeight="1" s="31">
      <c r="A32" s="33" t="inlineStr">
        <is>
          <t>Vault anchors used (consensus revenue unavailable on current data plan); audit = growth embedded in the PT.</t>
        </is>
      </c>
    </row>
    <row r="33" ht="15" customHeight="1" s="31">
      <c r="A33" s="36" t="inlineStr">
        <is>
          <t>Market cap 7/7 ($B)</t>
        </is>
      </c>
      <c r="B33" s="51" t="n">
        <v>3.213</v>
      </c>
    </row>
    <row r="34" ht="15" customHeight="1" s="31">
      <c r="A34" s="36" t="inlineStr">
        <is>
          <t>Net debt ($B)</t>
        </is>
      </c>
      <c r="B34" s="51" t="n">
        <v>0.589</v>
      </c>
    </row>
    <row r="35" ht="15" customHeight="1" s="31">
      <c r="A35" s="36" t="inlineStr">
        <is>
          <t>Vault revenue anchor (EV/Rev x)</t>
        </is>
      </c>
      <c r="B35" s="47" t="n">
        <v>5</v>
      </c>
    </row>
    <row r="36" ht="15" customHeight="1" s="31">
      <c r="A36" s="36" t="inlineStr">
        <is>
          <t>Run-rate revenue ($B)</t>
        </is>
      </c>
      <c r="B36" s="51" t="n">
        <v>0.066</v>
      </c>
      <c r="C36" s="33" t="inlineStr">
        <is>
          <t>FY2025 actual $66M (−15% YoY)</t>
        </is>
      </c>
    </row>
    <row r="37" ht="15" customHeight="1" s="31">
      <c r="A37" s="30" t="inlineStr">
        <is>
          <t>Cap @ PT ($B)</t>
        </is>
      </c>
      <c r="B37" s="52">
        <f>B33*B5/B4</f>
        <v/>
      </c>
    </row>
    <row r="38" ht="15" customHeight="1" s="31">
      <c r="A38" s="30" t="inlineStr">
        <is>
          <t>EV @ PT ($B)</t>
        </is>
      </c>
      <c r="B38" s="52">
        <f>B37+IF(ISNUMBER(B34),B34,0)</f>
        <v/>
      </c>
    </row>
    <row r="39" ht="15" customHeight="1" s="31">
      <c r="A39" s="30" t="inlineStr">
        <is>
          <t>Implied NTM revenue the PT requires ($B)</t>
        </is>
      </c>
      <c r="B39" s="52">
        <f>IF(ISNUMBER(B35),B38/B35,"—")</f>
        <v/>
      </c>
    </row>
    <row r="40" ht="15" customHeight="1" s="31">
      <c r="A40" s="30" t="inlineStr">
        <is>
          <t>Growth embedded: implied rev ÷ run-rate</t>
        </is>
      </c>
      <c r="B40" s="46">
        <f>IF(AND(ISNUMBER(B39),ISNUMBER(B36)),B39/B36,"—")</f>
        <v/>
      </c>
    </row>
    <row r="41" ht="15" customHeight="1" s="31">
      <c r="A41" s="30" t="inlineStr">
        <is>
          <t>P/S at price (run-rate)</t>
        </is>
      </c>
      <c r="B41" s="46">
        <f>IF(ISNUMBER(B36),B33/B36,"—")</f>
        <v/>
      </c>
    </row>
    <row r="43" ht="15" customHeight="1" s="31">
      <c r="A43" s="35" t="inlineStr">
        <is>
          <t>Note:</t>
        </is>
      </c>
    </row>
    <row r="44" ht="15" customHeight="1" s="31">
      <c r="A44" s="36" t="inlineStr">
        <is>
          <t>EV/Rev 5x anchor. Net debt = $676M debt − $87M cash [VERIFY].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XYL — PT Audit Model (EPS × multiple) — Buy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120.65</v>
      </c>
    </row>
    <row r="5" ht="15" customHeight="1" s="31">
      <c r="A5" s="36" t="inlineStr">
        <is>
          <t>Our PT ($)</t>
        </is>
      </c>
      <c r="B5" s="43" t="n">
        <v>135</v>
      </c>
    </row>
    <row r="6" ht="15" customHeight="1" s="31">
      <c r="A6" s="36" t="inlineStr">
        <is>
          <t>Bear ($)</t>
        </is>
      </c>
      <c r="B6" s="43" t="n">
        <v>85</v>
      </c>
    </row>
    <row r="7" ht="15" customHeight="1" s="31">
      <c r="A7" s="36" t="inlineStr">
        <is>
          <t>Cons EPS — Q+1e</t>
        </is>
      </c>
      <c r="B7" s="44" t="n">
        <v>1.34</v>
      </c>
    </row>
    <row r="8" ht="15" customHeight="1" s="31">
      <c r="A8" s="36" t="inlineStr">
        <is>
          <t>Cons EPS — Q+2e</t>
        </is>
      </c>
      <c r="B8" s="44" t="n">
        <v>1.46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Screener (water as DC bottleneck)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Clean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ASML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1747.28</v>
      </c>
    </row>
    <row r="5" ht="15" customHeight="1" s="31">
      <c r="A5" s="36" t="inlineStr">
        <is>
          <t>Our PT ($)</t>
        </is>
      </c>
      <c r="B5" s="43" t="n">
        <v>1730</v>
      </c>
    </row>
    <row r="6" ht="15" customHeight="1" s="31">
      <c r="A6" s="36" t="inlineStr">
        <is>
          <t>Bear ($)</t>
        </is>
      </c>
      <c r="B6" s="36" t="inlineStr">
        <is>
          <t>—</t>
        </is>
      </c>
    </row>
    <row r="7" ht="15" customHeight="1" s="31">
      <c r="A7" s="36" t="inlineStr">
        <is>
          <t>Cons EPS — Q+1e</t>
        </is>
      </c>
      <c r="B7" s="44" t="n">
        <v>7.98</v>
      </c>
    </row>
    <row r="8" ht="15" customHeight="1" s="31">
      <c r="A8" s="36" t="inlineStr">
        <is>
          <t>Cons EPS — Q+2e</t>
        </is>
      </c>
      <c r="B8" s="44" t="n">
        <v>9.140000000000001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36" t="inlineStr">
        <is>
          <t>—</t>
        </is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36" t="inlineStr">
        <is>
          <t>— (no bear logged)</t>
        </is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PT STALE — ratified PT-reset event; all Jul 15 branches fire a PT action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PT stale + no bear — BOTH set at Jul 15 reset. Price back above stale PT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BW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10.73</v>
      </c>
    </row>
    <row r="5" ht="15" customHeight="1" s="31">
      <c r="A5" s="36" t="inlineStr">
        <is>
          <t>Our PT ($)</t>
        </is>
      </c>
      <c r="B5" s="43" t="n">
        <v>18</v>
      </c>
    </row>
    <row r="6" ht="15" customHeight="1" s="31">
      <c r="A6" s="36" t="inlineStr">
        <is>
          <t>Bear ($)</t>
        </is>
      </c>
      <c r="B6" s="43" t="n">
        <v>4</v>
      </c>
    </row>
    <row r="7" ht="15" customHeight="1" s="31">
      <c r="A7" s="36" t="inlineStr">
        <is>
          <t>Cons EPS — Q+1e</t>
        </is>
      </c>
      <c r="B7" s="44" t="n">
        <v>0.03</v>
      </c>
    </row>
    <row r="8" ht="15" customHeight="1" s="31">
      <c r="A8" s="36" t="inlineStr">
        <is>
          <t>Cons EPS — Q+2e</t>
        </is>
      </c>
      <c r="B8" s="44" t="n">
        <v>0.07000000000000001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2.5–3x EV/Revenue on FY2026E ~$950M (6/29)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EV/Rev name; P/E distorted. Upgrade ≤$9 (16% away) or refi/2nd hyperscaler</t>
        </is>
      </c>
    </row>
    <row r="31" ht="15" customHeight="1" s="31">
      <c r="A31" s="35" t="inlineStr">
        <is>
          <t>REVENUE FRAMEWORK (added 7/7 evening — EPS-negative/near-zero name)</t>
        </is>
      </c>
    </row>
    <row r="32" ht="15" customHeight="1" s="31">
      <c r="A32" s="33" t="inlineStr">
        <is>
          <t>Vault anchors used (consensus revenue unavailable on current data plan); audit = growth embedded in the PT.</t>
        </is>
      </c>
    </row>
    <row r="33" ht="15" customHeight="1" s="31">
      <c r="A33" s="36" t="inlineStr">
        <is>
          <t>Market cap 7/7 ($B)</t>
        </is>
      </c>
      <c r="B33" s="51" t="n">
        <v>1.227</v>
      </c>
    </row>
    <row r="34" ht="15" customHeight="1" s="31">
      <c r="A34" s="36" t="inlineStr">
        <is>
          <t>Net debt ($B)</t>
        </is>
      </c>
      <c r="B34" s="51" t="n">
        <v>0.3</v>
      </c>
    </row>
    <row r="35" ht="15" customHeight="1" s="31">
      <c r="A35" s="36" t="inlineStr">
        <is>
          <t>Vault revenue anchor (EV/Rev x)</t>
        </is>
      </c>
      <c r="B35" s="47" t="n">
        <v>2.75</v>
      </c>
    </row>
    <row r="36" ht="15" customHeight="1" s="31">
      <c r="A36" s="36" t="inlineStr">
        <is>
          <t>Run-rate revenue ($B)</t>
        </is>
      </c>
      <c r="B36" s="51" t="n">
        <v>0.95</v>
      </c>
      <c r="C36" s="33" t="inlineStr">
        <is>
          <t>FY2026E $950M (logged PT basis)</t>
        </is>
      </c>
    </row>
    <row r="37" ht="15" customHeight="1" s="31">
      <c r="A37" s="30" t="inlineStr">
        <is>
          <t>Cap @ PT ($B)</t>
        </is>
      </c>
      <c r="B37" s="52">
        <f>B33*B5/B4</f>
        <v/>
      </c>
    </row>
    <row r="38" ht="15" customHeight="1" s="31">
      <c r="A38" s="30" t="inlineStr">
        <is>
          <t>EV @ PT ($B)</t>
        </is>
      </c>
      <c r="B38" s="52">
        <f>B37+IF(ISNUMBER(B34),B34,0)</f>
        <v/>
      </c>
    </row>
    <row r="39" ht="15" customHeight="1" s="31">
      <c r="A39" s="30" t="inlineStr">
        <is>
          <t>Implied NTM revenue the PT requires ($B)</t>
        </is>
      </c>
      <c r="B39" s="52">
        <f>IF(ISNUMBER(B35),B38/B35,"—")</f>
        <v/>
      </c>
    </row>
    <row r="40" ht="15" customHeight="1" s="31">
      <c r="A40" s="30" t="inlineStr">
        <is>
          <t>Growth embedded: implied rev ÷ run-rate</t>
        </is>
      </c>
      <c r="B40" s="46">
        <f>IF(AND(ISNUMBER(B39),ISNUMBER(B36)),B39/B36,"—")</f>
        <v/>
      </c>
    </row>
    <row r="41" ht="15" customHeight="1" s="31">
      <c r="A41" s="30" t="inlineStr">
        <is>
          <t>P/S at price (run-rate)</t>
        </is>
      </c>
      <c r="B41" s="46">
        <f>IF(ISNUMBER(B36),B33/B36,"—")</f>
        <v/>
      </c>
    </row>
    <row r="43" ht="15" customHeight="1" s="31">
      <c r="A43" s="35" t="inlineStr">
        <is>
          <t>Note:</t>
        </is>
      </c>
    </row>
    <row r="44" ht="15" customHeight="1" s="31">
      <c r="A44" s="36" t="inlineStr">
        <is>
          <t>EV/Rev 2.5–3x anchor (midpoint 2.75x).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COHR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314.13</v>
      </c>
    </row>
    <row r="5" ht="15" customHeight="1" s="31">
      <c r="A5" s="36" t="inlineStr">
        <is>
          <t>Our PT ($)</t>
        </is>
      </c>
      <c r="B5" s="43" t="n">
        <v>420</v>
      </c>
    </row>
    <row r="6" ht="15" customHeight="1" s="31">
      <c r="A6" s="36" t="inlineStr">
        <is>
          <t>Bear ($)</t>
        </is>
      </c>
      <c r="B6" s="43" t="n">
        <v>150</v>
      </c>
      <c r="C6" s="33" t="inlineStr">
        <is>
          <t>SCREENING bear set 7/7: 23x trough × cons NTM $6.62 — leverage discount to WFE peers — refine at print</t>
        </is>
      </c>
    </row>
    <row r="7" ht="15" customHeight="1" s="31">
      <c r="A7" s="36" t="inlineStr">
        <is>
          <t>Cons EPS — Q+1e</t>
        </is>
      </c>
      <c r="B7" s="44" t="n">
        <v>1.58</v>
      </c>
    </row>
    <row r="8" ht="15" customHeight="1" s="31">
      <c r="A8" s="36" t="inlineStr">
        <is>
          <t>Cons EPS — Q+2e</t>
        </is>
      </c>
      <c r="B8" s="44" t="n">
        <v>1.73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63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 — asymmetry incomputable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CRDO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246.4</v>
      </c>
    </row>
    <row r="5" ht="15" customHeight="1" s="31">
      <c r="A5" s="36" t="inlineStr">
        <is>
          <t>Our PT ($)</t>
        </is>
      </c>
      <c r="B5" s="43" t="n">
        <v>250</v>
      </c>
    </row>
    <row r="6" ht="15" customHeight="1" s="31">
      <c r="A6" s="36" t="inlineStr">
        <is>
          <t>Bear ($)</t>
        </is>
      </c>
      <c r="B6" s="43" t="n">
        <v>120</v>
      </c>
      <c r="C6" s="33" t="inlineStr">
        <is>
          <t>SCREENING bear set 7/7: 26x growth-trough × cons NTM $4.58 — hyper-grower, premium retained at trough — refine at print</t>
        </is>
      </c>
    </row>
    <row r="7" ht="15" customHeight="1" s="31">
      <c r="A7" s="36" t="inlineStr">
        <is>
          <t>Cons EPS — Q+1e</t>
        </is>
      </c>
      <c r="B7" s="44" t="n">
        <v>1.11</v>
      </c>
    </row>
    <row r="8" ht="15" customHeight="1" s="31">
      <c r="A8" s="36" t="inlineStr">
        <is>
          <t>Cons EPS — Q+2e</t>
        </is>
      </c>
      <c r="B8" s="44" t="n">
        <v>1.18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55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logged. Was in Hold-PT-Watch band (−1.4%)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EME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768.38</v>
      </c>
    </row>
    <row r="5" ht="15" customHeight="1" s="31">
      <c r="A5" s="36" t="inlineStr">
        <is>
          <t>Our PT ($)</t>
        </is>
      </c>
      <c r="B5" s="43" t="n">
        <v>1000</v>
      </c>
    </row>
    <row r="6" ht="15" customHeight="1" s="31">
      <c r="A6" s="36" t="inlineStr">
        <is>
          <t>Bear ($)</t>
        </is>
      </c>
      <c r="B6" s="43" t="n">
        <v>480</v>
      </c>
    </row>
    <row r="7" ht="15" customHeight="1" s="31">
      <c r="A7" s="36" t="inlineStr">
        <is>
          <t>Cons EPS — Q+1e</t>
        </is>
      </c>
      <c r="B7" s="44" t="n">
        <v>7.26</v>
      </c>
    </row>
    <row r="8" ht="15" customHeight="1" s="31">
      <c r="A8" s="36" t="inlineStr">
        <is>
          <t>Cons EPS — Q+2e</t>
        </is>
      </c>
      <c r="B8" s="44" t="n">
        <v>7.49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30</v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30x FY2027E EPS ~$33.50 (6/29 initiation)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Add zone ≤$660 (asym ≥1.9x); alert live. Q2 upgrade gate: RPO&gt;$16.5B + EPS≥$7.50 + guide≥$31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EQIX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1022.93</v>
      </c>
    </row>
    <row r="5" ht="15" customHeight="1" s="31">
      <c r="A5" s="36" t="inlineStr">
        <is>
          <t>Our PT ($)</t>
        </is>
      </c>
      <c r="B5" s="43" t="n">
        <v>1150</v>
      </c>
    </row>
    <row r="6" ht="15" customHeight="1" s="31">
      <c r="A6" s="36" t="inlineStr">
        <is>
          <t>Bear ($)</t>
        </is>
      </c>
      <c r="B6" s="43" t="n">
        <v>685</v>
      </c>
      <c r="C6" s="33" t="inlineStr">
        <is>
          <t>SCREENING bear set 7/7: 17x trough AFFO × cons NTM $39.4 — refine at print</t>
        </is>
      </c>
    </row>
    <row r="7" ht="15" customHeight="1" s="31">
      <c r="A7" s="36" t="inlineStr">
        <is>
          <t>Cons EPS — Q+1e</t>
        </is>
      </c>
      <c r="B7" s="44" t="n">
        <v>10.14</v>
      </c>
    </row>
    <row r="8" ht="15" customHeight="1" s="31">
      <c r="A8" s="36" t="inlineStr">
        <is>
          <t>Cons EPS — Q+2e</t>
        </is>
      </c>
      <c r="B8" s="44" t="n">
        <v>9.539999999999999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29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REIT (AFFO-adjacent) + ⚠️ no bear logged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ETN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395.68</v>
      </c>
    </row>
    <row r="5" ht="15" customHeight="1" s="31">
      <c r="A5" s="36" t="inlineStr">
        <is>
          <t>Our PT ($)</t>
        </is>
      </c>
      <c r="B5" s="43" t="n">
        <v>420</v>
      </c>
    </row>
    <row r="6" ht="15" customHeight="1" s="31">
      <c r="A6" s="36" t="inlineStr">
        <is>
          <t>Bear ($)</t>
        </is>
      </c>
      <c r="B6" s="43" t="n">
        <v>250</v>
      </c>
      <c r="C6" s="33" t="inlineStr">
        <is>
          <t>SCREENING bear set 7/7: 19x industrial trough × cons NTM $13.18 — refine at print</t>
        </is>
      </c>
    </row>
    <row r="7" ht="15" customHeight="1" s="31">
      <c r="A7" s="36" t="inlineStr">
        <is>
          <t>Cons EPS — Q+1e</t>
        </is>
      </c>
      <c r="B7" s="44" t="n">
        <v>3.08</v>
      </c>
    </row>
    <row r="8" ht="15" customHeight="1" s="31">
      <c r="A8" s="36" t="inlineStr">
        <is>
          <t>Cons EPS — Q+2e</t>
        </is>
      </c>
      <c r="B8" s="44" t="n">
        <v>3.51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32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 — asymmetry incomputable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FCEL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25.96</v>
      </c>
    </row>
    <row r="5" ht="15" customHeight="1" s="31">
      <c r="A5" s="36" t="inlineStr">
        <is>
          <t>Our PT ($)</t>
        </is>
      </c>
      <c r="B5" s="43" t="n">
        <v>26</v>
      </c>
    </row>
    <row r="6" ht="15" customHeight="1" s="31">
      <c r="A6" s="36" t="inlineStr">
        <is>
          <t>Bear ($)</t>
        </is>
      </c>
      <c r="B6" s="43" t="n">
        <v>12</v>
      </c>
    </row>
    <row r="7" ht="15" customHeight="1" s="31">
      <c r="A7" s="36" t="inlineStr">
        <is>
          <t>Cons EPS — Q+1e</t>
        </is>
      </c>
      <c r="B7" s="44" t="n">
        <v>-0.37</v>
      </c>
    </row>
    <row r="8" ht="15" customHeight="1" s="31">
      <c r="A8" s="36" t="inlineStr">
        <is>
          <t>Cons EPS — Q+2e</t>
        </is>
      </c>
      <c r="B8" s="44" t="n">
        <v>-0.39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Consensus-cluster $26 (7/2 reset); active anti-momentum lean</t>
        </is>
      </c>
    </row>
    <row r="21" ht="15" customHeight="1" s="31">
      <c r="A21" s="33" t="inlineStr">
        <is>
          <t>Grid omitted — EPS-negative / derived-price name; P/E framework not meaningful.</t>
        </is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EPS-negative. $200M offering 7/7 AH (~10–11.5% dilution) — watch pricing</t>
        </is>
      </c>
    </row>
    <row r="31" ht="15" customHeight="1" s="31">
      <c r="A31" s="35" t="inlineStr">
        <is>
          <t>REVENUE FRAMEWORK (added 7/7 evening — EPS-negative/near-zero name)</t>
        </is>
      </c>
    </row>
    <row r="32" ht="15" customHeight="1" s="31">
      <c r="A32" s="33" t="inlineStr">
        <is>
          <t>Vault anchors used (consensus revenue unavailable on current data plan); audit = growth embedded in the PT.</t>
        </is>
      </c>
    </row>
    <row r="33" ht="15" customHeight="1" s="31">
      <c r="A33" s="36" t="inlineStr">
        <is>
          <t>Market cap 7/7 ($B)</t>
        </is>
      </c>
      <c r="B33" s="51" t="n">
        <v>1.375</v>
      </c>
    </row>
    <row r="34" ht="15" customHeight="1" s="31">
      <c r="A34" s="36" t="inlineStr">
        <is>
          <t>Net debt ($B)</t>
        </is>
      </c>
      <c r="B34" s="36" t="inlineStr">
        <is>
          <t>—</t>
        </is>
      </c>
    </row>
    <row r="35" ht="15" customHeight="1" s="31">
      <c r="A35" s="36" t="inlineStr">
        <is>
          <t>Vault revenue anchor (EV/Rev x)</t>
        </is>
      </c>
      <c r="B35" s="36" t="inlineStr">
        <is>
          <t>—</t>
        </is>
      </c>
    </row>
    <row r="36" ht="15" customHeight="1" s="31">
      <c r="A36" s="36" t="inlineStr">
        <is>
          <t>Run-rate revenue ($B)</t>
        </is>
      </c>
      <c r="B36" s="51" t="n">
        <v>0.142</v>
      </c>
      <c r="C36" s="33" t="inlineStr">
        <is>
          <t>Q2 FY2026 $35.6M × 4 (−5% YoY)</t>
        </is>
      </c>
    </row>
    <row r="37" ht="15" customHeight="1" s="31">
      <c r="A37" s="30" t="inlineStr">
        <is>
          <t>Cap @ PT ($B)</t>
        </is>
      </c>
      <c r="B37" s="52">
        <f>B33*B5/B4</f>
        <v/>
      </c>
    </row>
    <row r="38" ht="15" customHeight="1" s="31">
      <c r="A38" s="30" t="inlineStr">
        <is>
          <t>EV @ PT ($B)</t>
        </is>
      </c>
      <c r="B38" s="52">
        <f>B37+IF(ISNUMBER(B34),B34,0)</f>
        <v/>
      </c>
    </row>
    <row r="39" ht="15" customHeight="1" s="31">
      <c r="A39" s="30" t="inlineStr">
        <is>
          <t>Implied NTM revenue the PT requires ($B)</t>
        </is>
      </c>
      <c r="B39" s="52">
        <f>IF(ISNUMBER(B35),B38/B35,"—")</f>
        <v/>
      </c>
    </row>
    <row r="40" ht="15" customHeight="1" s="31">
      <c r="A40" s="30" t="inlineStr">
        <is>
          <t>Growth embedded: implied rev ÷ run-rate</t>
        </is>
      </c>
      <c r="B40" s="46">
        <f>IF(AND(ISNUMBER(B39),ISNUMBER(B36)),B39/B36,"—")</f>
        <v/>
      </c>
    </row>
    <row r="41" ht="15" customHeight="1" s="31">
      <c r="A41" s="30" t="inlineStr">
        <is>
          <t>P/S at price (run-rate)</t>
        </is>
      </c>
      <c r="B41" s="46">
        <f>IF(ISNUMBER(B36),B33/B36,"—")</f>
        <v/>
      </c>
    </row>
    <row r="43" ht="15" customHeight="1" s="31">
      <c r="A43" s="35" t="inlineStr">
        <is>
          <t>Note:</t>
        </is>
      </c>
    </row>
    <row r="44" ht="15" customHeight="1" s="31">
      <c r="A44" s="36" t="inlineStr">
        <is>
          <t>PT is consensus-cluster ($26), not a rev multiple — P/S shown for context. $200M offering 7/7 AH adds ~10–11.5% shares.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FCX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59.27</v>
      </c>
    </row>
    <row r="5" ht="15" customHeight="1" s="31">
      <c r="A5" s="36" t="inlineStr">
        <is>
          <t>Our PT ($)</t>
        </is>
      </c>
      <c r="B5" s="43" t="n">
        <v>72</v>
      </c>
    </row>
    <row r="6" ht="15" customHeight="1" s="31">
      <c r="A6" s="36" t="inlineStr">
        <is>
          <t>Bear ($)</t>
        </is>
      </c>
      <c r="B6" s="43" t="n">
        <v>35</v>
      </c>
      <c r="C6" s="33" t="inlineStr">
        <is>
          <t>SCREENING bear set 7/7: note's own bear copper deck $3.25/lb ≈ 2023 trading zone (~13x NTM) — refine at print</t>
        </is>
      </c>
    </row>
    <row r="7" ht="15" customHeight="1" s="31">
      <c r="A7" s="36" t="inlineStr">
        <is>
          <t>Cons EPS — Q+1e</t>
        </is>
      </c>
      <c r="B7" s="44" t="n">
        <v>0.6</v>
      </c>
    </row>
    <row r="8" ht="15" customHeight="1" s="31">
      <c r="A8" s="36" t="inlineStr">
        <is>
          <t>Cons EPS — Q+2e</t>
        </is>
      </c>
      <c r="B8" s="44" t="n">
        <v>0.77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Copper-price scenario deck (bear $3.25/lb basis, not a price)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$-bear logged (commodity-deck bear) — asymmetry incomputable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GLW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185.38</v>
      </c>
    </row>
    <row r="5" ht="15" customHeight="1" s="31">
      <c r="A5" s="36" t="inlineStr">
        <is>
          <t>Our PT ($)</t>
        </is>
      </c>
      <c r="B5" s="43" t="n">
        <v>210</v>
      </c>
    </row>
    <row r="6" ht="15" customHeight="1" s="31">
      <c r="A6" s="36" t="inlineStr">
        <is>
          <t>Bear ($)</t>
        </is>
      </c>
      <c r="B6" s="43" t="n">
        <v>95</v>
      </c>
      <c r="C6" s="33" t="inlineStr">
        <is>
          <t>SCREENING bear set 7/7: AI-optical premium unwind — 30x × cons NTM $3.20 — refine at print</t>
        </is>
      </c>
    </row>
    <row r="7" ht="15" customHeight="1" s="31">
      <c r="A7" s="36" t="inlineStr">
        <is>
          <t>Cons EPS — Q+1e</t>
        </is>
      </c>
      <c r="B7" s="44" t="n">
        <v>0.75</v>
      </c>
    </row>
    <row r="8" ht="15" customHeight="1" s="31">
      <c r="A8" s="36" t="inlineStr">
        <is>
          <t>Cons EPS — Q+2e</t>
        </is>
      </c>
      <c r="B8" s="44" t="n">
        <v>0.85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33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logged. Retired from Hold-PT-Watch band 7/7 (−12%)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HUT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96.73999999999999</v>
      </c>
    </row>
    <row r="5" ht="15" customHeight="1" s="31">
      <c r="A5" s="36" t="inlineStr">
        <is>
          <t>Our PT ($)</t>
        </is>
      </c>
      <c r="B5" s="43" t="n">
        <v>145</v>
      </c>
    </row>
    <row r="6" ht="15" customHeight="1" s="31">
      <c r="A6" s="36" t="inlineStr">
        <is>
          <t>Bear ($)</t>
        </is>
      </c>
      <c r="B6" s="43" t="n">
        <v>45</v>
      </c>
      <c r="C6" s="33" t="inlineStr">
        <is>
          <t>SCREENING bear set 7/7: asset-based placeholder ≈ pre-rerate range [VERIFY at Aug 6 print — needs HODL/MW math] — refine at print</t>
        </is>
      </c>
    </row>
    <row r="7" ht="15" customHeight="1" s="31">
      <c r="A7" s="36" t="inlineStr">
        <is>
          <t>Cons EPS — Q+1e</t>
        </is>
      </c>
      <c r="B7" s="44" t="n">
        <v>-0.32</v>
      </c>
    </row>
    <row r="8" ht="15" customHeight="1" s="31">
      <c r="A8" s="36" t="inlineStr">
        <is>
          <t>Cons EPS — Q+2e</t>
        </is>
      </c>
      <c r="B8" s="44" t="n">
        <v>-0.4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Comps (miner-to-host); June-3 initiation</t>
        </is>
      </c>
    </row>
    <row r="21" ht="15" customHeight="1" s="31">
      <c r="A21" s="33" t="inlineStr">
        <is>
          <t>Grid omitted — EPS-negative / derived-price name; P/E framework not meaningful.</t>
        </is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EPS-negative + ⚠️ no bear logged</t>
        </is>
      </c>
    </row>
    <row r="31" ht="15" customHeight="1" s="31">
      <c r="A31" s="35" t="inlineStr">
        <is>
          <t>REVENUE FRAMEWORK (added 7/7 evening — EPS-negative/near-zero name)</t>
        </is>
      </c>
    </row>
    <row r="32" ht="15" customHeight="1" s="31">
      <c r="A32" s="33" t="inlineStr">
        <is>
          <t>Vault anchors used (consensus revenue unavailable on current data plan); audit = growth embedded in the PT.</t>
        </is>
      </c>
    </row>
    <row r="33" ht="15" customHeight="1" s="31">
      <c r="A33" s="36" t="inlineStr">
        <is>
          <t>Market cap 7/7 ($B)</t>
        </is>
      </c>
      <c r="B33" s="51" t="n">
        <v>10.892</v>
      </c>
    </row>
    <row r="34" ht="15" customHeight="1" s="31">
      <c r="A34" s="36" t="inlineStr">
        <is>
          <t>Net debt ($B)</t>
        </is>
      </c>
      <c r="B34" s="36" t="inlineStr">
        <is>
          <t>—</t>
        </is>
      </c>
    </row>
    <row r="35" ht="15" customHeight="1" s="31">
      <c r="A35" s="36" t="inlineStr">
        <is>
          <t>Vault revenue anchor (EV/Rev x)</t>
        </is>
      </c>
      <c r="B35" s="36" t="inlineStr">
        <is>
          <t>—</t>
        </is>
      </c>
    </row>
    <row r="36" ht="15" customHeight="1" s="31">
      <c r="A36" s="36" t="inlineStr">
        <is>
          <t>Run-rate revenue ($B)</t>
        </is>
      </c>
      <c r="B36" s="36" t="inlineStr">
        <is>
          <t>—</t>
        </is>
      </c>
      <c r="C36" s="33" t="inlineStr">
        <is>
          <t>—</t>
        </is>
      </c>
    </row>
    <row r="37" ht="15" customHeight="1" s="31">
      <c r="A37" s="30" t="inlineStr">
        <is>
          <t>Cap @ PT ($B)</t>
        </is>
      </c>
      <c r="B37" s="52">
        <f>B33*B5/B4</f>
        <v/>
      </c>
    </row>
    <row r="38" ht="15" customHeight="1" s="31">
      <c r="A38" s="30" t="inlineStr">
        <is>
          <t>EV @ PT ($B)</t>
        </is>
      </c>
      <c r="B38" s="52">
        <f>B37+IF(ISNUMBER(B34),B34,0)</f>
        <v/>
      </c>
    </row>
    <row r="39" ht="15" customHeight="1" s="31">
      <c r="A39" s="30" t="inlineStr">
        <is>
          <t>Implied NTM revenue the PT requires ($B)</t>
        </is>
      </c>
      <c r="B39" s="52">
        <f>IF(ISNUMBER(B35),B38/B35,"—")</f>
        <v/>
      </c>
    </row>
    <row r="40" ht="15" customHeight="1" s="31">
      <c r="A40" s="30" t="inlineStr">
        <is>
          <t>Growth embedded: implied rev ÷ run-rate</t>
        </is>
      </c>
      <c r="B40" s="46">
        <f>IF(AND(ISNUMBER(B39),ISNUMBER(B36)),B39/B36,"—")</f>
        <v/>
      </c>
    </row>
    <row r="41" ht="15" customHeight="1" s="31">
      <c r="A41" s="30" t="inlineStr">
        <is>
          <t>P/S at price (run-rate)</t>
        </is>
      </c>
      <c r="B41" s="46">
        <f>IF(ISNUMBER(B36),B33/B36,"—")</f>
        <v/>
      </c>
    </row>
    <row r="43" ht="15" customHeight="1" s="31">
      <c r="A43" s="35" t="inlineStr">
        <is>
          <t>Note:</t>
        </is>
      </c>
    </row>
    <row r="44" ht="15" customHeight="1" s="31">
      <c r="A44" s="36" t="inlineStr">
        <is>
          <t>No revenue anchor (comps, miner-to-host). Asset-based bear work owed at Aug 6 print.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INTC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110.39</v>
      </c>
    </row>
    <row r="5" ht="15" customHeight="1" s="31">
      <c r="A5" s="36" t="inlineStr">
        <is>
          <t>Our PT ($)</t>
        </is>
      </c>
      <c r="B5" s="43" t="n">
        <v>120</v>
      </c>
    </row>
    <row r="6" ht="15" customHeight="1" s="31">
      <c r="A6" s="36" t="inlineStr">
        <is>
          <t>Bear ($)</t>
        </is>
      </c>
      <c r="B6" s="43" t="n">
        <v>60</v>
      </c>
    </row>
    <row r="7" ht="15" customHeight="1" s="31">
      <c r="A7" s="36" t="inlineStr">
        <is>
          <t>Cons EPS — Q+1e</t>
        </is>
      </c>
      <c r="B7" s="44" t="n">
        <v>0.19</v>
      </c>
    </row>
    <row r="8" ht="15" customHeight="1" s="31">
      <c r="A8" s="36" t="inlineStr">
        <is>
          <t>Cons EPS — Q+2e</t>
        </is>
      </c>
      <c r="B8" s="44" t="n">
        <v>0.24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Probability-weighted EV ~$106 (decision closed ✗ 6/23; PT never reset)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Owed post-✗ PT reset — due at Jul 23 print (per Hold PT Watch)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IREN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39.82</v>
      </c>
    </row>
    <row r="5" ht="15" customHeight="1" s="31">
      <c r="A5" s="36" t="inlineStr">
        <is>
          <t>Our PT ($)</t>
        </is>
      </c>
      <c r="B5" s="43" t="n">
        <v>72</v>
      </c>
    </row>
    <row r="6" ht="15" customHeight="1" s="31">
      <c r="A6" s="36" t="inlineStr">
        <is>
          <t>Bear ($)</t>
        </is>
      </c>
      <c r="B6" s="43" t="n">
        <v>18</v>
      </c>
      <c r="C6" s="33" t="inlineStr">
        <is>
          <t>SCREENING bear set 7/7: pre-AI-contract trading range; DC-capex funding risk [VERIFY at Aug 27 print] — refine at print</t>
        </is>
      </c>
    </row>
    <row r="7" ht="15" customHeight="1" s="31">
      <c r="A7" s="36" t="inlineStr">
        <is>
          <t>Cons EPS — Q+1e</t>
        </is>
      </c>
      <c r="B7" s="44" t="n">
        <v>-0.38</v>
      </c>
    </row>
    <row r="8" ht="15" customHeight="1" s="31">
      <c r="A8" s="36" t="inlineStr">
        <is>
          <t>Cons EPS — Q+2e</t>
        </is>
      </c>
      <c r="B8" s="44" t="n">
        <v>-0.25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3" t="inlineStr">
        <is>
          <t>Grid omitted — EPS-negative / derived-price name; P/E framework not meaningful.</t>
        </is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EPS-negative + ⚠️ no bear logged. PT 81% above price — stale?</t>
        </is>
      </c>
    </row>
    <row r="31" ht="15" customHeight="1" s="31">
      <c r="A31" s="35" t="inlineStr">
        <is>
          <t>REVENUE FRAMEWORK (added 7/7 evening — EPS-negative/near-zero name)</t>
        </is>
      </c>
    </row>
    <row r="32" ht="15" customHeight="1" s="31">
      <c r="A32" s="33" t="inlineStr">
        <is>
          <t>Vault anchors used (consensus revenue unavailable on current data plan); audit = growth embedded in the PT.</t>
        </is>
      </c>
    </row>
    <row r="33" ht="15" customHeight="1" s="31">
      <c r="A33" s="36" t="inlineStr">
        <is>
          <t>Market cap 7/7 ($B)</t>
        </is>
      </c>
      <c r="B33" s="51" t="n">
        <v>14.208</v>
      </c>
    </row>
    <row r="34" ht="15" customHeight="1" s="31">
      <c r="A34" s="36" t="inlineStr">
        <is>
          <t>Net debt ($B)</t>
        </is>
      </c>
      <c r="B34" s="36" t="inlineStr">
        <is>
          <t>—</t>
        </is>
      </c>
    </row>
    <row r="35" ht="15" customHeight="1" s="31">
      <c r="A35" s="36" t="inlineStr">
        <is>
          <t>Vault revenue anchor (EV/Rev x)</t>
        </is>
      </c>
      <c r="B35" s="36" t="inlineStr">
        <is>
          <t>—</t>
        </is>
      </c>
    </row>
    <row r="36" ht="15" customHeight="1" s="31">
      <c r="A36" s="36" t="inlineStr">
        <is>
          <t>Run-rate revenue ($B)</t>
        </is>
      </c>
      <c r="B36" s="36" t="inlineStr">
        <is>
          <t>—</t>
        </is>
      </c>
      <c r="C36" s="33" t="inlineStr">
        <is>
          <t>—</t>
        </is>
      </c>
    </row>
    <row r="37" ht="15" customHeight="1" s="31">
      <c r="A37" s="30" t="inlineStr">
        <is>
          <t>Cap @ PT ($B)</t>
        </is>
      </c>
      <c r="B37" s="52">
        <f>B33*B5/B4</f>
        <v/>
      </c>
    </row>
    <row r="38" ht="15" customHeight="1" s="31">
      <c r="A38" s="30" t="inlineStr">
        <is>
          <t>EV @ PT ($B)</t>
        </is>
      </c>
      <c r="B38" s="52">
        <f>B37+IF(ISNUMBER(B34),B34,0)</f>
        <v/>
      </c>
    </row>
    <row r="39" ht="15" customHeight="1" s="31">
      <c r="A39" s="30" t="inlineStr">
        <is>
          <t>Implied NTM revenue the PT requires ($B)</t>
        </is>
      </c>
      <c r="B39" s="52">
        <f>IF(ISNUMBER(B35),B38/B35,"—")</f>
        <v/>
      </c>
    </row>
    <row r="40" ht="15" customHeight="1" s="31">
      <c r="A40" s="30" t="inlineStr">
        <is>
          <t>Growth embedded: implied rev ÷ run-rate</t>
        </is>
      </c>
      <c r="B40" s="46">
        <f>IF(AND(ISNUMBER(B39),ISNUMBER(B36)),B39/B36,"—")</f>
        <v/>
      </c>
    </row>
    <row r="41" ht="15" customHeight="1" s="31">
      <c r="A41" s="30" t="inlineStr">
        <is>
          <t>P/S at price (run-rate)</t>
        </is>
      </c>
      <c r="B41" s="46">
        <f>IF(ISNUMBER(B36),B33/B36,"—")</f>
        <v/>
      </c>
    </row>
    <row r="43" ht="15" customHeight="1" s="31">
      <c r="A43" s="35" t="inlineStr">
        <is>
          <t>Note:</t>
        </is>
      </c>
    </row>
    <row r="44" ht="15" customHeight="1" s="31">
      <c r="A44" s="36" t="inlineStr">
        <is>
          <t>No revenue anchor. Asset-based bear work owed at Aug 27 print.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KLAC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216.47</v>
      </c>
    </row>
    <row r="5" ht="15" customHeight="1" s="31">
      <c r="A5" s="36" t="inlineStr">
        <is>
          <t>Our PT ($)</t>
        </is>
      </c>
      <c r="B5" s="43" t="n">
        <v>270</v>
      </c>
    </row>
    <row r="6" ht="15" customHeight="1" s="31">
      <c r="A6" s="36" t="inlineStr">
        <is>
          <t>Bear ($)</t>
        </is>
      </c>
      <c r="B6" s="43" t="n">
        <v>140</v>
      </c>
    </row>
    <row r="7" ht="15" customHeight="1" s="31">
      <c r="A7" s="36" t="inlineStr">
        <is>
          <t>Cons EPS — Q+1e</t>
        </is>
      </c>
      <c r="B7" s="44" t="n">
        <v>1</v>
      </c>
    </row>
    <row r="8" ht="15" customHeight="1" s="31">
      <c r="A8" s="36" t="inlineStr">
        <is>
          <t>Cons EPS — Q+2e</t>
        </is>
      </c>
      <c r="B8" s="44" t="n">
        <v>1.13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74</v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74x FY2026E post-split EPS ~$3.66 (6/29 reset); revisit closed 7/7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Post-split estimates ($1.00/$1.13). Asym ~0.7x at close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MKSI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349.57</v>
      </c>
    </row>
    <row r="5" ht="15" customHeight="1" s="31">
      <c r="A5" s="36" t="inlineStr">
        <is>
          <t>Our PT ($)</t>
        </is>
      </c>
      <c r="B5" s="43" t="n">
        <v>450</v>
      </c>
    </row>
    <row r="6" ht="15" customHeight="1" s="31">
      <c r="A6" s="36" t="inlineStr">
        <is>
          <t>Bear ($)</t>
        </is>
      </c>
      <c r="B6" s="43" t="n">
        <v>230</v>
      </c>
    </row>
    <row r="7" ht="15" customHeight="1" s="31">
      <c r="A7" s="36" t="inlineStr">
        <is>
          <t>Cons EPS — Q+1e</t>
        </is>
      </c>
      <c r="B7" s="44" t="n">
        <v>2.95</v>
      </c>
    </row>
    <row r="8" ht="15" customHeight="1" s="31">
      <c r="A8" s="36" t="inlineStr">
        <is>
          <t>Cons EPS — Q+2e</t>
        </is>
      </c>
      <c r="B8" s="44" t="n">
        <v>3.17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35</v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35x NTM ~$12.75 (7/2 reset); deep-dive cleared 7/7 (leverage 3.5x)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Upgrade gate: leverage &lt;2.5x AND asym ≥1.5x (≤$318)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MPWR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1272.81</v>
      </c>
    </row>
    <row r="5" ht="15" customHeight="1" s="31">
      <c r="A5" s="36" t="inlineStr">
        <is>
          <t>Our PT ($)</t>
        </is>
      </c>
      <c r="B5" s="43" t="n">
        <v>1700</v>
      </c>
    </row>
    <row r="6" ht="15" customHeight="1" s="31">
      <c r="A6" s="36" t="inlineStr">
        <is>
          <t>Bear ($)</t>
        </is>
      </c>
      <c r="B6" s="43" t="n">
        <v>735</v>
      </c>
      <c r="C6" s="33" t="inlineStr">
        <is>
          <t>SCREENING bear set 7/7: 31x analog trough × cons NTM $23.72 — refine at print</t>
        </is>
      </c>
    </row>
    <row r="7" ht="15" customHeight="1" s="31">
      <c r="A7" s="36" t="inlineStr">
        <is>
          <t>Cons EPS — Q+1e</t>
        </is>
      </c>
      <c r="B7" s="44" t="n">
        <v>5.65</v>
      </c>
    </row>
    <row r="8" ht="15" customHeight="1" s="31">
      <c r="A8" s="36" t="inlineStr">
        <is>
          <t>Cons EPS — Q+2e</t>
        </is>
      </c>
      <c r="B8" s="44" t="n">
        <v>6.21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72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logged. PT 34% above price — stale?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NVT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153.18</v>
      </c>
    </row>
    <row r="5" ht="15" customHeight="1" s="31">
      <c r="A5" s="36" t="inlineStr">
        <is>
          <t>Our PT ($)</t>
        </is>
      </c>
      <c r="B5" s="43" t="n">
        <v>180</v>
      </c>
    </row>
    <row r="6" ht="15" customHeight="1" s="31">
      <c r="A6" s="36" t="inlineStr">
        <is>
          <t>Bear ($)</t>
        </is>
      </c>
      <c r="B6" s="43" t="n">
        <v>85</v>
      </c>
      <c r="C6" s="33" t="inlineStr">
        <is>
          <t>SCREENING bear set 7/7: note's own logic — re-rate to industrial multiple (~18x × cons NTM $4.68) — refine at print</t>
        </is>
      </c>
    </row>
    <row r="7" ht="15" customHeight="1" s="31">
      <c r="A7" s="36" t="inlineStr">
        <is>
          <t>Cons EPS — Q+1e</t>
        </is>
      </c>
      <c r="B7" s="44" t="n">
        <v>1.16</v>
      </c>
    </row>
    <row r="8" ht="15" customHeight="1" s="31">
      <c r="A8" s="36" t="inlineStr">
        <is>
          <t>Cons EPS — Q+2e</t>
        </is>
      </c>
      <c r="B8" s="44" t="n">
        <v>1.18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38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 — asymmetry incomputable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ON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91.09999999999999</v>
      </c>
    </row>
    <row r="5" ht="15" customHeight="1" s="31">
      <c r="A5" s="36" t="inlineStr">
        <is>
          <t>Our PT ($)</t>
        </is>
      </c>
      <c r="B5" s="43" t="n">
        <v>100</v>
      </c>
    </row>
    <row r="6" ht="15" customHeight="1" s="31">
      <c r="A6" s="36" t="inlineStr">
        <is>
          <t>Bear ($)</t>
        </is>
      </c>
      <c r="B6" s="43" t="n">
        <v>65</v>
      </c>
    </row>
    <row r="7" ht="15" customHeight="1" s="31">
      <c r="A7" s="36" t="inlineStr">
        <is>
          <t>Cons EPS — Q+1e</t>
        </is>
      </c>
      <c r="B7" s="44" t="n">
        <v>0.71</v>
      </c>
    </row>
    <row r="8" ht="15" customHeight="1" s="31">
      <c r="A8" s="36" t="inlineStr">
        <is>
          <t>Cons EPS — Q+2e</t>
        </is>
      </c>
      <c r="B8" s="44" t="n">
        <v>0.83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Comps post-Synaptics downgrade (6/29); bear $65 integration-failure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Re-entry: synergy proof or $70–75 pullback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PWR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656.79</v>
      </c>
    </row>
    <row r="5" ht="15" customHeight="1" s="31">
      <c r="A5" s="36" t="inlineStr">
        <is>
          <t>Our PT ($)</t>
        </is>
      </c>
      <c r="B5" s="43" t="n">
        <v>680</v>
      </c>
    </row>
    <row r="6" ht="15" customHeight="1" s="31">
      <c r="A6" s="36" t="inlineStr">
        <is>
          <t>Bear ($)</t>
        </is>
      </c>
      <c r="B6" s="43" t="n">
        <v>370</v>
      </c>
      <c r="C6" s="33" t="inlineStr">
        <is>
          <t>SCREENING bear set 7/7: 25x premium-E&amp;C trough × cons NTM $14.82 — refine at print</t>
        </is>
      </c>
    </row>
    <row r="7" ht="15" customHeight="1" s="31">
      <c r="A7" s="36" t="inlineStr">
        <is>
          <t>Cons EPS — Q+1e</t>
        </is>
      </c>
      <c r="B7" s="44" t="n">
        <v>3.25</v>
      </c>
    </row>
    <row r="8" ht="15" customHeight="1" s="31">
      <c r="A8" s="36" t="inlineStr">
        <is>
          <t>Cons EPS — Q+2e</t>
        </is>
      </c>
      <c r="B8" s="44" t="n">
        <v>4.16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23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logged. Hold-PT-Watch band edge (−3.4%)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SCCO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169.75</v>
      </c>
    </row>
    <row r="5" ht="15" customHeight="1" s="31">
      <c r="A5" s="36" t="inlineStr">
        <is>
          <t>Our PT ($)</t>
        </is>
      </c>
      <c r="B5" s="43" t="n">
        <v>165</v>
      </c>
    </row>
    <row r="6" ht="15" customHeight="1" s="31">
      <c r="A6" s="36" t="inlineStr">
        <is>
          <t>Bear ($)</t>
        </is>
      </c>
      <c r="B6" s="43" t="n">
        <v>105</v>
      </c>
      <c r="C6" s="33" t="inlineStr">
        <is>
          <t>SCREENING bear set 7/7: bear copper deck — ~15x × cons NTM $7.12 — refine at print</t>
        </is>
      </c>
    </row>
    <row r="7" ht="15" customHeight="1" s="31">
      <c r="A7" s="36" t="inlineStr">
        <is>
          <t>Cons EPS — Q+1e</t>
        </is>
      </c>
      <c r="B7" s="44" t="n">
        <v>1.81</v>
      </c>
    </row>
    <row r="8" ht="15" customHeight="1" s="31">
      <c r="A8" s="36" t="inlineStr">
        <is>
          <t>Cons EPS — Q+2e</t>
        </is>
      </c>
      <c r="B8" s="44" t="n">
        <v>1.75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23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rating; low-conviction note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ABOVE PT (+2.9%) + no bear — Rule-2 decision owed at Jul 28 print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SNDK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1617.7</v>
      </c>
    </row>
    <row r="5" ht="15" customHeight="1" s="31">
      <c r="A5" s="36" t="inlineStr">
        <is>
          <t>Our PT ($)</t>
        </is>
      </c>
      <c r="B5" s="43" t="n">
        <v>2000</v>
      </c>
    </row>
    <row r="6" ht="15" customHeight="1" s="31">
      <c r="A6" s="36" t="inlineStr">
        <is>
          <t>Bear ($)</t>
        </is>
      </c>
      <c r="B6" s="43" t="n">
        <v>400</v>
      </c>
    </row>
    <row r="7" ht="15" customHeight="1" s="31">
      <c r="A7" s="36" t="inlineStr">
        <is>
          <t>Cons EPS — Q+1e</t>
        </is>
      </c>
      <c r="B7" s="44" t="n">
        <v>33.38</v>
      </c>
    </row>
    <row r="8" ht="15" customHeight="1" s="31">
      <c r="A8" s="36" t="inlineStr">
        <is>
          <t>Cons EPS — Q+2e</t>
        </is>
      </c>
      <c r="B8" s="44" t="n">
        <v>41.45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PT STALE — gated to Aug 13 three-condition upgrade gate (EPS≥$38 + 6th NBM + Q1 guide≥$35)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Now 19% BELOW stale PT — asymmetry flipped favorable into gate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STX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827.64</v>
      </c>
    </row>
    <row r="5" ht="15" customHeight="1" s="31">
      <c r="A5" s="36" t="inlineStr">
        <is>
          <t>Our PT ($)</t>
        </is>
      </c>
      <c r="B5" s="43" t="n">
        <v>910</v>
      </c>
    </row>
    <row r="6" ht="15" customHeight="1" s="31">
      <c r="A6" s="36" t="inlineStr">
        <is>
          <t>Bear ($)</t>
        </is>
      </c>
      <c r="B6" s="43" t="n">
        <v>240</v>
      </c>
      <c r="C6" s="33" t="inlineStr">
        <is>
          <t>SCREENING bear set 7/7: memory-cycle bear — EPS halves to ~$12, 20x trough (SNDK-consistent treatment) — refine at print</t>
        </is>
      </c>
    </row>
    <row r="7" ht="15" customHeight="1" s="31">
      <c r="A7" s="36" t="inlineStr">
        <is>
          <t>Cons EPS — Q+1e</t>
        </is>
      </c>
      <c r="B7" s="44" t="n">
        <v>5.04</v>
      </c>
    </row>
    <row r="8" ht="15" customHeight="1" s="31">
      <c r="A8" s="36" t="inlineStr">
        <is>
          <t>Cons EPS — Q+2e</t>
        </is>
      </c>
      <c r="B8" s="44" t="n">
        <v>5.63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43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rating; thin note (memory-tape caveat)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logged. Deepen note before Jul 28 print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TOELY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209.8</v>
      </c>
    </row>
    <row r="5" ht="15" customHeight="1" s="31">
      <c r="A5" s="36" t="inlineStr">
        <is>
          <t>Our PT ($)</t>
        </is>
      </c>
      <c r="B5" s="43" t="n">
        <v>220</v>
      </c>
    </row>
    <row r="6" ht="15" customHeight="1" s="31">
      <c r="A6" s="36" t="inlineStr">
        <is>
          <t>Bear ($)</t>
        </is>
      </c>
      <c r="B6" s="43" t="n">
        <v>110</v>
      </c>
    </row>
    <row r="7" ht="15" customHeight="1" s="31">
      <c r="A7" s="36" t="inlineStr">
        <is>
          <t>Cons EPS — Q+1e</t>
        </is>
      </c>
      <c r="B7" s="44" t="n">
        <v>1.205</v>
      </c>
      <c r="C7" s="33" t="inlineStr">
        <is>
          <t>Vault FX-honest base ADR EPS $4.82/yr ÷ 4 per quarter (7/7 downgrade) — NOT consensus. Check: 45x × $4.82 = $217 ≈ PT $220 ✓</t>
        </is>
      </c>
    </row>
    <row r="8" ht="15" customHeight="1" s="31">
      <c r="A8" s="36" t="inlineStr">
        <is>
          <t>Cons EPS — Q+2e</t>
        </is>
      </c>
      <c r="B8" s="44" t="n">
        <v>1.205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45</v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45x FX-honest bull ADR EPS $4.82 (7/7 downgrade; ¥161.9 basis)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No US consensus — vault EPS input. Upgrade: FY27H1 ¥-EPS ≥¥1,900 or ≤$150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TSEM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211.93</v>
      </c>
    </row>
    <row r="5" ht="15" customHeight="1" s="31">
      <c r="A5" s="36" t="inlineStr">
        <is>
          <t>Our PT ($)</t>
        </is>
      </c>
      <c r="B5" s="43" t="n">
        <v>285</v>
      </c>
    </row>
    <row r="6" ht="15" customHeight="1" s="31">
      <c r="A6" s="36" t="inlineStr">
        <is>
          <t>Bear ($)</t>
        </is>
      </c>
      <c r="B6" s="43" t="n">
        <v>95</v>
      </c>
      <c r="C6" s="33" t="inlineStr">
        <is>
          <t>SCREENING bear set 7/7: 30x × cons NTM $3.18 — reversion toward pre-AI-rerate zone — refine at print</t>
        </is>
      </c>
    </row>
    <row r="7" ht="15" customHeight="1" s="31">
      <c r="A7" s="36" t="inlineStr">
        <is>
          <t>Cons EPS — Q+1e</t>
        </is>
      </c>
      <c r="B7" s="44" t="n">
        <v>0.73</v>
      </c>
    </row>
    <row r="8" ht="15" customHeight="1" s="31">
      <c r="A8" s="36" t="inlineStr">
        <is>
          <t>Cons EPS — Q+2e</t>
        </is>
      </c>
      <c r="B8" s="44" t="n">
        <v>0.86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45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Comps (June-3); 'next Hold to test' per Lesson #3 — now −26% below PT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 — asymmetry incomputable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TT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475.74</v>
      </c>
    </row>
    <row r="5" ht="15" customHeight="1" s="31">
      <c r="A5" s="36" t="inlineStr">
        <is>
          <t>Our PT ($)</t>
        </is>
      </c>
      <c r="B5" s="43" t="n">
        <v>515</v>
      </c>
    </row>
    <row r="6" ht="15" customHeight="1" s="31">
      <c r="A6" s="36" t="inlineStr">
        <is>
          <t>Bear ($)</t>
        </is>
      </c>
      <c r="B6" s="43" t="n">
        <v>300</v>
      </c>
      <c r="C6" s="33" t="inlineStr">
        <is>
          <t>SCREENING bear set 7/7: 17x industrial trough × cons NTM $17.66 — refine at print</t>
        </is>
      </c>
    </row>
    <row r="7" ht="15" customHeight="1" s="31">
      <c r="A7" s="36" t="inlineStr">
        <is>
          <t>Cons EPS — Q+1e</t>
        </is>
      </c>
      <c r="B7" s="44" t="n">
        <v>4.25</v>
      </c>
    </row>
    <row r="8" ht="15" customHeight="1" s="31">
      <c r="A8" s="36" t="inlineStr">
        <is>
          <t>Cons EPS — Q+2e</t>
        </is>
      </c>
      <c r="B8" s="44" t="n">
        <v>4.58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29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 — no logged multiple anchor (Lesson #2 cohort)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 — asymmetry incomputable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WDC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532.1</v>
      </c>
    </row>
    <row r="5" ht="15" customHeight="1" s="31">
      <c r="A5" s="36" t="inlineStr">
        <is>
          <t>Our PT ($)</t>
        </is>
      </c>
      <c r="B5" s="43" t="n">
        <v>560</v>
      </c>
    </row>
    <row r="6" ht="15" customHeight="1" s="31">
      <c r="A6" s="36" t="inlineStr">
        <is>
          <t>Bear ($)</t>
        </is>
      </c>
      <c r="B6" s="43" t="n">
        <v>160</v>
      </c>
      <c r="C6" s="33" t="inlineStr">
        <is>
          <t>SCREENING bear set 7/7: memory-cycle bear — EPS halves to ~$8, 20x trough (STX/SNDK-consistent) — refine at print</t>
        </is>
      </c>
    </row>
    <row r="7" ht="15" customHeight="1" s="31">
      <c r="A7" s="36" t="inlineStr">
        <is>
          <t>Cons EPS — Q+1e</t>
        </is>
      </c>
      <c r="B7" s="44" t="n">
        <v>3.27</v>
      </c>
    </row>
    <row r="8" ht="15" customHeight="1" s="31">
      <c r="A8" s="36" t="inlineStr">
        <is>
          <t>Cons EPS — Q+2e</t>
        </is>
      </c>
      <c r="B8" s="44" t="n">
        <v>3.63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47" t="n">
        <v>41</v>
      </c>
      <c r="C13" s="33" t="inlineStr">
        <is>
          <t>Retro-documented 7/7 = implied P/E@PT (baseline for drift tracking)</t>
        </is>
      </c>
    </row>
    <row r="14" ht="15" customHeight="1" s="31">
      <c r="A14" s="36" t="inlineStr">
        <is>
          <t>Required NTM EPS for PT at stated mult</t>
        </is>
      </c>
      <c r="B14" s="45">
        <f>IF(ISNUMBER(B13),B5/B13,"—")</f>
        <v/>
      </c>
    </row>
    <row r="15" ht="15" customHeight="1" s="31">
      <c r="A15" s="36" t="inlineStr">
        <is>
          <t>Consensus NTM vs required (gap)</t>
        </is>
      </c>
      <c r="B15" s="48">
        <f>IF(AND(ISNUMBER(B14),ISNUMBER(B9),B9&gt;0),B9/B14-1,"—")</f>
        <v/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June-3 batch rating; thin note (41 lines, memory-tape caveat)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41" t="inlineStr">
        <is>
          <t>⚠️ No bear logged. Retired from watch band 7/7; deepen before Jul 29 print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WMB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</t>
        </is>
      </c>
      <c r="B4" s="43" t="n">
        <v>75.08</v>
      </c>
    </row>
    <row r="5" ht="15" customHeight="1" s="31">
      <c r="A5" s="36" t="inlineStr">
        <is>
          <t>Our PT ($)</t>
        </is>
      </c>
      <c r="B5" s="43" t="n">
        <v>80</v>
      </c>
    </row>
    <row r="6" ht="15" customHeight="1" s="31">
      <c r="A6" s="36" t="inlineStr">
        <is>
          <t>Bear ($)</t>
        </is>
      </c>
      <c r="B6" s="43" t="n">
        <v>58</v>
      </c>
    </row>
    <row r="7" ht="15" customHeight="1" s="31">
      <c r="A7" s="36" t="inlineStr">
        <is>
          <t>Cons EPS — Q+1e</t>
        </is>
      </c>
      <c r="B7" s="44" t="n">
        <v>0.51</v>
      </c>
    </row>
    <row r="8" ht="15" customHeight="1" s="31">
      <c r="A8" s="36" t="inlineStr">
        <is>
          <t>Cons EPS — Q+2e</t>
        </is>
      </c>
      <c r="B8" s="44" t="n">
        <v>0.55</v>
      </c>
    </row>
    <row r="9" ht="15" customHeight="1" s="31">
      <c r="A9" s="36" t="inlineStr">
        <is>
          <t>NTM EPS (approx = 2×(B7+B8))</t>
        </is>
      </c>
      <c r="B9" s="45">
        <f>2*(B7+B8)</f>
        <v/>
      </c>
    </row>
    <row r="10" ht="15" customHeight="1" s="31">
      <c r="A10" s="36" t="inlineStr">
        <is>
          <t>P/E at current price</t>
        </is>
      </c>
      <c r="B10" s="46">
        <f>IF($B$9&lt;=0,"n/m",B4/$B$9)</f>
        <v/>
      </c>
    </row>
    <row r="11" ht="15" customHeight="1" s="31">
      <c r="A11" s="36" t="inlineStr">
        <is>
          <t>P/E implied at PT</t>
        </is>
      </c>
      <c r="B11" s="46">
        <f>IF($B$9&lt;=0,"n/m",B5/$B$9)</f>
        <v/>
      </c>
    </row>
    <row r="12" ht="15" customHeight="1" s="31">
      <c r="A12" s="36" t="inlineStr">
        <is>
          <t>P/E implied at bear</t>
        </is>
      </c>
      <c r="B12" s="46">
        <f>IF($B$9&lt;=0,"n/m",B6/$B$9)</f>
        <v/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Screener + comps (7/7 initiation, screening mode)</t>
        </is>
      </c>
    </row>
    <row r="21" ht="15" customHeight="1" s="31">
      <c r="A21" s="35" t="inlineStr">
        <is>
          <t>Implied price grid — NTM EPS (rows) × multiple (cols). All formulas.</t>
        </is>
      </c>
    </row>
    <row r="22" ht="15" customHeight="1" s="31">
      <c r="A22" s="36" t="inlineStr">
        <is>
          <t>EPS \ Mult</t>
        </is>
      </c>
      <c r="B22" s="46">
        <f>IF(ISNUMBER(B12),ROUND(B12,1),ROUND(B10*0.7,1))</f>
        <v/>
      </c>
      <c r="C22" s="46">
        <f>ROUND(B10,1)</f>
        <v/>
      </c>
      <c r="D22" s="46">
        <f>ROUND(B11,1)</f>
        <v/>
      </c>
    </row>
    <row r="23" ht="15" customHeight="1" s="31">
      <c r="A23" s="45">
        <f>ROUND($B$9*0.85,2)</f>
        <v/>
      </c>
      <c r="B23" s="50">
        <f>$A23*B$22</f>
        <v/>
      </c>
      <c r="C23" s="50">
        <f>$A23*C$22</f>
        <v/>
      </c>
      <c r="D23" s="50">
        <f>$A23*D$22</f>
        <v/>
      </c>
    </row>
    <row r="24" ht="15" customHeight="1" s="31">
      <c r="A24" s="45">
        <f>ROUND($B$9*1,2)</f>
        <v/>
      </c>
      <c r="B24" s="50">
        <f>$A24*B$22</f>
        <v/>
      </c>
      <c r="C24" s="50">
        <f>$A24*C$22</f>
        <v/>
      </c>
      <c r="D24" s="50">
        <f>$A24*D$22</f>
        <v/>
      </c>
    </row>
    <row r="25" ht="15" customHeight="1" s="31">
      <c r="A25" s="45">
        <f>ROUND($B$9*1.15,2)</f>
        <v/>
      </c>
      <c r="B25" s="50">
        <f>$A25*B$22</f>
        <v/>
      </c>
      <c r="C25" s="50">
        <f>$A25*C$22</f>
        <v/>
      </c>
      <c r="D25" s="50">
        <f>$A25*D$22</f>
        <v/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Upgrade ≤$65 or Transco acceleration Aug 3. Green through the unwind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0" min="1" max="1"/>
    <col width="14" customWidth="1" style="30" min="2" max="5"/>
  </cols>
  <sheetData>
    <row r="1" ht="15" customHeight="1" s="31">
      <c r="A1" s="32" t="inlineStr">
        <is>
          <t>SMNEY — PT Audit Model (EPS × multiple) — Hold</t>
        </is>
      </c>
    </row>
    <row r="2" ht="15" customHeight="1" s="31">
      <c r="A2" s="33" t="inlineStr">
        <is>
          <t>Built 2026-07-07 (evening). Consensus: Robinhood quarterly estimates 7/7 (next two quarters; NTM = 2 × sum — approximation, refine as quarters print). Prices: FMP official closes 7/7. Blue = input, Black = formula.</t>
        </is>
      </c>
    </row>
    <row r="4" ht="15" customHeight="1" s="31">
      <c r="A4" s="36" t="inlineStr">
        <is>
          <t>Current price ($) = ENR.DE × 0.2 × EURUSD</t>
        </is>
      </c>
      <c r="B4" s="50">
        <f>E4*0.2*E5</f>
        <v/>
      </c>
      <c r="D4" s="30" t="inlineStr">
        <is>
          <t>ENR.DE (€)</t>
        </is>
      </c>
      <c r="E4" s="53" t="n">
        <v>155.3</v>
      </c>
    </row>
    <row r="5" ht="15" customHeight="1" s="31">
      <c r="A5" s="36" t="inlineStr">
        <is>
          <t>Our PT ($)</t>
        </is>
      </c>
      <c r="B5" s="43" t="n">
        <v>38</v>
      </c>
      <c r="D5" s="30" t="inlineStr">
        <is>
          <t>EURUSD</t>
        </is>
      </c>
      <c r="E5" s="54" t="n">
        <v>1.14155</v>
      </c>
    </row>
    <row r="6" ht="15" customHeight="1" s="31">
      <c r="A6" s="36" t="inlineStr">
        <is>
          <t>Bear ($)</t>
        </is>
      </c>
      <c r="B6" s="43" t="n">
        <v>22</v>
      </c>
    </row>
    <row r="7" ht="15" customHeight="1" s="31">
      <c r="A7" s="36" t="inlineStr">
        <is>
          <t>Cons EPS — Q+1e</t>
        </is>
      </c>
      <c r="B7" s="36" t="inlineStr">
        <is>
          <t>—</t>
        </is>
      </c>
    </row>
    <row r="8" ht="15" customHeight="1" s="31">
      <c r="A8" s="36" t="inlineStr">
        <is>
          <t>Cons EPS — Q+2e</t>
        </is>
      </c>
      <c r="B8" s="36" t="inlineStr">
        <is>
          <t>—</t>
        </is>
      </c>
    </row>
    <row r="9" ht="15" customHeight="1" s="31">
      <c r="A9" s="36" t="inlineStr">
        <is>
          <t>NTM EPS (approx = 2×(B7+B8))</t>
        </is>
      </c>
      <c r="B9" s="36" t="inlineStr">
        <is>
          <t>n/a</t>
        </is>
      </c>
    </row>
    <row r="10" ht="15" customHeight="1" s="31">
      <c r="A10" s="36" t="inlineStr">
        <is>
          <t>P/E at current price</t>
        </is>
      </c>
      <c r="B10" s="36" t="inlineStr">
        <is>
          <t>n/a</t>
        </is>
      </c>
    </row>
    <row r="11" ht="15" customHeight="1" s="31">
      <c r="A11" s="36" t="inlineStr">
        <is>
          <t>P/E implied at PT</t>
        </is>
      </c>
      <c r="B11" s="36" t="inlineStr">
        <is>
          <t>n/a</t>
        </is>
      </c>
    </row>
    <row r="12" ht="15" customHeight="1" s="31">
      <c r="A12" s="36" t="inlineStr">
        <is>
          <t>P/E implied at bear</t>
        </is>
      </c>
      <c r="B12" s="36" t="inlineStr">
        <is>
          <t>n/a</t>
        </is>
      </c>
    </row>
    <row r="13" ht="15" customHeight="1" s="31">
      <c r="A13" s="36" t="inlineStr">
        <is>
          <t>Stated multiple anchor</t>
        </is>
      </c>
      <c r="B13" s="36" t="inlineStr">
        <is>
          <t>—</t>
        </is>
      </c>
    </row>
    <row r="14" ht="15" customHeight="1" s="31">
      <c r="A14" s="36" t="inlineStr">
        <is>
          <t>Required NTM EPS for PT at stated mult</t>
        </is>
      </c>
      <c r="B14" s="36" t="inlineStr">
        <is>
          <t>—</t>
        </is>
      </c>
    </row>
    <row r="15" ht="15" customHeight="1" s="31">
      <c r="A15" s="36" t="inlineStr">
        <is>
          <t>Consensus NTM vs required (gap)</t>
        </is>
      </c>
      <c r="B15" s="36" t="inlineStr">
        <is>
          <t>—</t>
        </is>
      </c>
    </row>
    <row r="16" ht="15" customHeight="1" s="31">
      <c r="A16" s="36" t="inlineStr">
        <is>
          <t>Asymmetry (PT−P)/(P−bear)</t>
        </is>
      </c>
      <c r="B16" s="49">
        <f>(B5-B4)/(B4-B6)</f>
        <v/>
      </c>
    </row>
    <row r="18" ht="15" customHeight="1" s="31">
      <c r="A18" s="35" t="inlineStr">
        <is>
          <t>Methodology (as logged in Decisions Log / note):</t>
        </is>
      </c>
    </row>
    <row r="19" ht="15" customHeight="1" s="31">
      <c r="A19" s="36" t="inlineStr">
        <is>
          <t>ENR-consensus-anchored €173 (6/29); STANDING RULE: price = ENR.DE × 0.2 × EURUSD</t>
        </is>
      </c>
    </row>
    <row r="21" ht="15" customHeight="1" s="31">
      <c r="A21" s="33" t="inlineStr">
        <is>
          <t>Grid omitted — EPS-negative / derived-price name; P/E framework not meaningful.</t>
        </is>
      </c>
    </row>
    <row r="27" ht="15" customHeight="1" s="31">
      <c r="A27" s="35" t="inlineStr">
        <is>
          <t>Audit note:</t>
        </is>
      </c>
    </row>
    <row r="28" ht="15" customHeight="1" s="31">
      <c r="A28" s="36" t="inlineStr">
        <is>
          <t>Derived pricing only (never FMP/OTC feeds). ENR.DE €155.30 × 0.2 × 1.1416 ⇒ ~$35.46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2026-07-08T02:48:53Z</dcterms:created>
  <dcterms:modified xmlns:dcterms="http://purl.org/dc/terms/" xmlns:xsi="http://www.w3.org/2001/XMLSchema-instance" xsi:type="dcterms:W3CDTF">2026-07-08T03:23:13Z</dcterms:modified>
  <cp:revision>0</cp:revision>
</cp:coreProperties>
</file>