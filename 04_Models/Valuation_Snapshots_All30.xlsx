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 Dashboard" sheetId="1" state="visible" r:id="rId3"/>
    <sheet name="Scenario Rationale" sheetId="2" state="visible" r:id="rId4"/>
    <sheet name="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<sst xmlns="http://schemas.openxmlformats.org/spreadsheetml/2006/main" count="389" uniqueCount="235">
  <si>
    <t xml:space="preserve">UPSTEAM AI EQUITY RESEARCH  —  Valuation Snapshot  |  All 30 Buy-Rated Names</t>
  </si>
  <si>
    <t xml:space="preserve">As of July 7, 2026 (intraday, AI-unwind tape)  |  Bear = thesis breaks  |  Base = our PT scenario  |  Bull = thesis exceeds expectations  |  P-weighted = probability-weighted price  |  Blue = hardcoded input  |  Black = formula</t>
  </si>
  <si>
    <t xml:space="preserve">COMPANY</t>
  </si>
  <si>
    <t xml:space="preserve">PRICING</t>
  </si>
  <si>
    <t xml:space="preserve">BEAR CASE</t>
  </si>
  <si>
    <t xml:space="preserve">BASE CASE (OUR PT)</t>
  </si>
  <si>
    <t xml:space="preserve">BULL CASE</t>
  </si>
  <si>
    <t xml:space="preserve">EXPECTED VALUE</t>
  </si>
  <si>
    <t xml:space="preserve">Ticker</t>
  </si>
  <si>
    <t xml:space="preserve">Sector</t>
  </si>
  <si>
    <t xml:space="preserve">Current $</t>
  </si>
  <si>
    <t xml:space="preserve">Our PT</t>
  </si>
  <si>
    <t xml:space="preserve">Method</t>
  </si>
  <si>
    <t xml:space="preserve">Upside %</t>
  </si>
  <si>
    <t xml:space="preserve">Bear $</t>
  </si>
  <si>
    <t xml:space="preserve">Bear Prob</t>
  </si>
  <si>
    <t xml:space="preserve">Bear×EV</t>
  </si>
  <si>
    <t xml:space="preserve">Base $</t>
  </si>
  <si>
    <t xml:space="preserve">Base Prob</t>
  </si>
  <si>
    <t xml:space="preserve">Base×EV</t>
  </si>
  <si>
    <t xml:space="preserve">Bull $</t>
  </si>
  <si>
    <t xml:space="preserve">Bull Prob</t>
  </si>
  <si>
    <t xml:space="preserve">Bull×EV</t>
  </si>
  <si>
    <t xml:space="preserve">P-Wtd $</t>
  </si>
  <si>
    <t xml:space="preserve">vs Current</t>
  </si>
  <si>
    <t xml:space="preserve">Conviction</t>
  </si>
  <si>
    <t xml:space="preserve">  Power-Gen-Grid</t>
  </si>
  <si>
    <t xml:space="preserve">BE</t>
  </si>
  <si>
    <t xml:space="preserve">Power-Gen-Grid</t>
  </si>
  <si>
    <t xml:space="preserve">EV/Revenue</t>
  </si>
  <si>
    <t xml:space="preserve">High</t>
  </si>
  <si>
    <t xml:space="preserve">CAT</t>
  </si>
  <si>
    <t xml:space="preserve">P/E</t>
  </si>
  <si>
    <t xml:space="preserve">Medium-High</t>
  </si>
  <si>
    <t xml:space="preserve">CEG</t>
  </si>
  <si>
    <t xml:space="preserve">EV/EBITDA</t>
  </si>
  <si>
    <t xml:space="preserve">GEV</t>
  </si>
  <si>
    <t xml:space="preserve">GNRC</t>
  </si>
  <si>
    <t xml:space="preserve">Medium</t>
  </si>
  <si>
    <t xml:space="preserve">HUBB</t>
  </si>
  <si>
    <t xml:space="preserve">NRG</t>
  </si>
  <si>
    <t xml:space="preserve">VST</t>
  </si>
  <si>
    <t xml:space="preserve">  Cooling-Thermal</t>
  </si>
  <si>
    <t xml:space="preserve">MOD</t>
  </si>
  <si>
    <t xml:space="preserve">Cooling-Thermal</t>
  </si>
  <si>
    <t xml:space="preserve">SPXC</t>
  </si>
  <si>
    <t xml:space="preserve">VRT</t>
  </si>
  <si>
    <t xml:space="preserve">  AI-Networking</t>
  </si>
  <si>
    <t xml:space="preserve">ANET</t>
  </si>
  <si>
    <t xml:space="preserve">AI-Networking</t>
  </si>
  <si>
    <t xml:space="preserve">AVGO</t>
  </si>
  <si>
    <t xml:space="preserve">CLS</t>
  </si>
  <si>
    <t xml:space="preserve">FN</t>
  </si>
  <si>
    <t xml:space="preserve">LITE</t>
  </si>
  <si>
    <t xml:space="preserve">MRVL</t>
  </si>
  <si>
    <t xml:space="preserve">  Semi-Materials-Equip</t>
  </si>
  <si>
    <t xml:space="preserve">AMAT</t>
  </si>
  <si>
    <t xml:space="preserve">Semi-Materials-Equip</t>
  </si>
  <si>
    <t xml:space="preserve">MU</t>
  </si>
  <si>
    <t xml:space="preserve">Memory-Storage</t>
  </si>
  <si>
    <t xml:space="preserve">NTM P/E (Catalyst Playbook)</t>
  </si>
  <si>
    <t xml:space="preserve">LRCX</t>
  </si>
  <si>
    <t xml:space="preserve">TOELY</t>
  </si>
  <si>
    <t xml:space="preserve">  Critical-Minerals</t>
  </si>
  <si>
    <t xml:space="preserve">CCJ</t>
  </si>
  <si>
    <t xml:space="preserve">Critical-Minerals</t>
  </si>
  <si>
    <t xml:space="preserve">MP</t>
  </si>
  <si>
    <t xml:space="preserve">UUUU</t>
  </si>
  <si>
    <t xml:space="preserve">—</t>
  </si>
  <si>
    <t xml:space="preserve">  Data-Center-Infra</t>
  </si>
  <si>
    <t xml:space="preserve">APLD</t>
  </si>
  <si>
    <t xml:space="preserve">Data-Center-Infra</t>
  </si>
  <si>
    <t xml:space="preserve">DLR</t>
  </si>
  <si>
    <t xml:space="preserve">IRM</t>
  </si>
  <si>
    <t xml:space="preserve">NBIS</t>
  </si>
  <si>
    <t xml:space="preserve">XYL</t>
  </si>
  <si>
    <t xml:space="preserve">  Power-Electronics</t>
  </si>
  <si>
    <t xml:space="preserve">ON (Hold 6/29)</t>
  </si>
  <si>
    <t xml:space="preserve">Power-Electronics</t>
  </si>
  <si>
    <t xml:space="preserve">  30 Buy-rated names  |  Methodology: EV/EBITDA (utilities/industrials), EV/Revenue (high-growth tech), P/E (mature industrials/semis)</t>
  </si>
  <si>
    <t xml:space="preserve">Prices: live intraday July 7, 2026 (FMP). PTs from Decisions Log through 2026-07-07 (CAT $1,150, AMAT $680, LRCX $450, TOELY $270 ADR, MU $1,500 added replacing ENTG [downgraded 6/18, exited 6/25], ON marked Hold/$100). MU base = ~12.5x NTM EPS ~$120, bull = 15x. Bigdata.com consensus fields pending re-auth.</t>
  </si>
  <si>
    <t xml:space="preserve">VALUATION SCENARIOS — RATIONALE  |  Upsteam AI Equity Research  |  refreshed July 7, 2026</t>
  </si>
  <si>
    <t xml:space="preserve">Bear = thesis breaks (20-30% probability) | Base = our PT (45-55%) | Bull = thesis exceeds expectations (25%) | Source: Bigdata.com</t>
  </si>
  <si>
    <t xml:space="preserve">Bear Rationale</t>
  </si>
  <si>
    <t xml:space="preserve">Base Rationale</t>
  </si>
  <si>
    <t xml:space="preserve">Bull Rationale</t>
  </si>
  <si>
    <t xml:space="preserve">Oracle delays; manufacturing doesn't scale; 4x 2026E revenue</t>
  </si>
  <si>
    <t xml:space="preserve">7.9x 2026E revenue ($3.6B); manufacturing to 2GW/yr; PT justified</t>
  </si>
  <si>
    <t xml:space="preserve">4th+ hyperscaler; 3GW+ capacity; 12x 2026E revenue re-rate</t>
  </si>
  <si>
    <t xml:space="preserve">Construction cycle contraction; backlog cancellations; 26x P/E trough</t>
  </si>
  <si>
    <t xml:space="preserve">~40x NTM P/E on AI-driven backlog premium; PT = modest premium to peers</t>
  </si>
  <si>
    <t xml:space="preserve">Full AI generator repricing; 50x P/E on sustained earnings power</t>
  </si>
  <si>
    <t xml:space="preserve">PJM ruling blocks co-location; Calpine misses; de-rate to 10x EBITDA</t>
  </si>
  <si>
    <t xml:space="preserve">15x 2026E EBITDA (~$8.5B proforma); Calpine accretion on track</t>
  </si>
  <si>
    <t xml:space="preserve">18x EBITDA + incremental hyperscaler PPAs; consensus high = $460</t>
  </si>
  <si>
    <t xml:space="preserve">Capex cycle reversal; backlog cancellations; de-rate to 28x P/E</t>
  </si>
  <si>
    <t xml:space="preserve">100GW+ backlog; pricing power flows through P&amp;L; PT = ~35x NTM P/E</t>
  </si>
  <si>
    <t xml:space="preserve">110GW+ target hit; hyperscaler volume agreements to 2035; 40x P/E</t>
  </si>
  <si>
    <t xml:space="preserve">Hyperscaler approvals fail; residential soft; 32x P/E trough</t>
  </si>
  <si>
    <t xml:space="preserve">~45x NTM P/E on data center generator opportunity materializing</t>
  </si>
  <si>
    <t xml:space="preserve">Named hyperscaler win announcement; 55x P/E re-rate</t>
  </si>
  <si>
    <t xml:space="preserve">Grid capex deferrals; utility backlog stalls; 28x P/E</t>
  </si>
  <si>
    <t xml:space="preserve">~38x NTM P/E; grid infrastructure scarcity premium; Utility Solutions growth</t>
  </si>
  <si>
    <t xml:space="preserve">Grid buildout accelerates; transformer supply tightens further; 42x P/E</t>
  </si>
  <si>
    <t xml:space="preserve">GEV/Kiewit pipeline zero; leverage stays &gt;5x; ERCOT&lt;$40/MWh</t>
  </si>
  <si>
    <t xml:space="preserve">10x 2026E EBITDA ($5.575B); base case no pipeline credit</t>
  </si>
  <si>
    <t xml:space="preserve">30% pipeline credit (1.6GW contracted); $8B+ EBITDA scenario</t>
  </si>
  <si>
    <t xml:space="preserve">Cogentrix fails; no multiple re-rating; merchant discount persists</t>
  </si>
  <si>
    <t xml:space="preserve">11x 2026E EBITDA + Cogentrix option; Fitch IG upgrade catalyst</t>
  </si>
  <si>
    <t xml:space="preserve">13x EBITDA as contracted % grows; Cogentrix adds $800M EBITDA</t>
  </si>
  <si>
    <t xml:space="preserve">DC cooling growth slows; customer concentration; 18x EBITDA trough</t>
  </si>
  <si>
    <t xml:space="preserve">~35x NTM EBITDA on 200%+ YoY DC growth; multiple premium justified</t>
  </si>
  <si>
    <t xml:space="preserve">AI cooling becomes standard; market share gains; 45x EBITDA</t>
  </si>
  <si>
    <t xml:space="preserve">DC HVAC plateaus; detection weak; de-rate to 20x P/E trough</t>
  </si>
  <si>
    <t xml:space="preserve">~28x NTM P/E; data center cooling tailwind; detection recovery</t>
  </si>
  <si>
    <t xml:space="preserve">Hyperscaler cooling tower wins; 35x P/E on dual growth drivers</t>
  </si>
  <si>
    <t xml:space="preserve">AI cluster orders slow; margin compression; de-rate to 25x EBITDA</t>
  </si>
  <si>
    <t xml:space="preserve">~35x NTM EBITDA; AI cooling pure-play premium; orders bellwether</t>
  </si>
  <si>
    <t xml:space="preserve">Consensus high $500; liquid cooling standardized; 45x EBITDA</t>
  </si>
  <si>
    <t xml:space="preserve">InfiniBand regains share; revenue decel &lt;15%; 12x NTM revenue</t>
  </si>
  <si>
    <t xml:space="preserve">~17x NTM revenue; AI Ethernet dominant; $11.5B FY2026 guide raised</t>
  </si>
  <si>
    <t xml:space="preserve">800G/1.6T upgrade cycle accelerates; 22x NTM revenue; consensus high $200</t>
  </si>
  <si>
    <t xml:space="preserve">Custom silicon fragments; VMware underperforms; 10x NTM revenue</t>
  </si>
  <si>
    <t xml:space="preserve">~14x NTM revenue; custom AI silicon + VMware = structural moat</t>
  </si>
  <si>
    <t xml:space="preserve">Google/Meta silicon expands; AI revenue $100B+; 18x NTM revenue</t>
  </si>
  <si>
    <t xml:space="preserve">Hyperscaler capex pause; customer concentration; 2.5x NTM revenue</t>
  </si>
  <si>
    <t xml:space="preserve">~4x NTM revenue; AI server/switch contract manufacturing leader</t>
  </si>
  <si>
    <t xml:space="preserve">Hyperscaler AI buildout continues; 5x NTM revenue + margin expansion</t>
  </si>
  <si>
    <t xml:space="preserve">OEM customer share loss; optical demand pause; 28x P/E trough</t>
  </si>
  <si>
    <t xml:space="preserve">~38x NTM P/E; optical transceiver manufacturing monopoly for AI</t>
  </si>
  <si>
    <t xml:space="preserve">AI optical volumes triple; 45x P/E; co-package optics manufacturing wins</t>
  </si>
  <si>
    <t xml:space="preserve">AI transceiver demand cycle peaks; CPO displaces; 8x NTM revenue</t>
  </si>
  <si>
    <t xml:space="preserve">~14x NTM revenue; 800G/1.6T AI demand structural; laser upside</t>
  </si>
  <si>
    <t xml:space="preserve">CPO transition benefits LITE; 18x NTM revenue; LITE wins CPO design</t>
  </si>
  <si>
    <t xml:space="preserve">Amazon/Microsoft delay; 8x NTM revenue deceleration scenario</t>
  </si>
  <si>
    <t xml:space="preserve">17x NTM revenue; 50+ design wins; CPO + custom HBM expanding TAM</t>
  </si>
  <si>
    <t xml:space="preserve">CPO becomes standard; 25x NTM revenue on $15B+ annual revenue path</t>
  </si>
  <si>
    <t xml:space="preserve">WFE contraction; China restrictions tighten; 20x P/E trough</t>
  </si>
  <si>
    <t xml:space="preserve">~28x NTM P/E; broad WFE leadership; AI chip capex structural</t>
  </si>
  <si>
    <t xml:space="preserve">Advanced packaging/gate-all-around ramp; 35x P/E premium</t>
  </si>
  <si>
    <t xml:space="preserve">ENTG</t>
  </si>
  <si>
    <t xml:space="preserve">Customer inventory correction; capex cycle down; 4x NTM revenue</t>
  </si>
  <si>
    <t xml:space="preserve">~7x NTM revenue; advanced packaging materials leadership</t>
  </si>
  <si>
    <t xml:space="preserve">CoWoS/advanced packaging ramp; 9x NTM revenue expansion</t>
  </si>
  <si>
    <t xml:space="preserve">WFE cycle contraction; memory capex freeze; 18x P/E trough</t>
  </si>
  <si>
    <t xml:space="preserve">~30x NTM P/E; HBM TSV etch dominant; WFE supercycle intact</t>
  </si>
  <si>
    <t xml:space="preserve">HBM supercycle extends; advanced packaging; 38x P/E re-rate</t>
  </si>
  <si>
    <t xml:space="preserve">WFE cycle contraction; Japan-US tensions; 20x P/E trough</t>
  </si>
  <si>
    <t xml:space="preserve">~30x NTM P/E; WFE leadership in etch/deposition/coating</t>
  </si>
  <si>
    <t xml:space="preserve">AI chip capex supercycle; 38x P/E; ADR re-rate</t>
  </si>
  <si>
    <t xml:space="preserve">Uranium price &lt;$60/lb; nuclear new builds cancelled; 15x EBITDA</t>
  </si>
  <si>
    <t xml:space="preserve">~25x NTM EBITDA; uranium scarcity + nuclear renaissance structural</t>
  </si>
  <si>
    <t xml:space="preserve">SMR pipeline accelerates; uranium &gt;$120/lb; 35x EBITDA</t>
  </si>
  <si>
    <t xml:space="preserve">China removes export restrictions; NdPr &lt;$55/kg; 3x NTM revenue</t>
  </si>
  <si>
    <t xml:space="preserve">~7x NTM revenue; only Western-scale rare earth mine; magnets upside</t>
  </si>
  <si>
    <t xml:space="preserve">Tesla + 2nd OEM magnets deal; NdPr re-rates; 12x NTM revenue</t>
  </si>
  <si>
    <t xml:space="preserve">Uranium &lt;$60/lb; no utility contracts; cash burn unsustainable</t>
  </si>
  <si>
    <t xml:space="preserve">~5x NTM revenue; only US uranium+rare earth producer; strategic value</t>
  </si>
  <si>
    <t xml:space="preserve">Federal uranium reserve contract + rare earth offtake; 8x revenue</t>
  </si>
  <si>
    <t xml:space="preserve">Refinancing fails; HPC commoditizes; balance sheet stress</t>
  </si>
  <si>
    <t xml:space="preserve">~4x NTM revenue; HPC/AI hosting infrastructure; data center expansion</t>
  </si>
  <si>
    <t xml:space="preserve">AI inference demand sustains premium; 6x NTM revenue</t>
  </si>
  <si>
    <t xml:space="preserve">New supply exceeds demand; hyperscalers shift to own campuses; cap rate expansion</t>
  </si>
  <si>
    <t xml:space="preserve">~11x NTM revenue; global DC platform; 284 facilities / 48 metros</t>
  </si>
  <si>
    <t xml:space="preserve">AI data center co-location accelerates; 12x revenue; cap rate compression</t>
  </si>
  <si>
    <t xml:space="preserve">DC pre-lease &lt;70%; physical storage decline accelerates; 6x revenue</t>
  </si>
  <si>
    <t xml:space="preserve">~9x NTM revenue; DC pivot; priced as document storage company</t>
  </si>
  <si>
    <t xml:space="preserve">DC pivot fully recognized; 12x revenue re-rate to data center REIT</t>
  </si>
  <si>
    <t xml:space="preserve">European AI cloud niche; GPU allocation cut; revenue decel &lt;50%</t>
  </si>
  <si>
    <t xml:space="preserve">~10x NTM revenue; Aschenbrenner #2 holding; +529% YoY growth</t>
  </si>
  <si>
    <t xml:space="preserve">European AI cloud standard; 13x NTM revenue; additional GPU deals</t>
  </si>
  <si>
    <t xml:space="preserve">Municipal spending cuts; smart meter cycle ends; 20x P/E</t>
  </si>
  <si>
    <t xml:space="preserve">~28x NTM P/E; water infrastructure + smart grid exposure</t>
  </si>
  <si>
    <t xml:space="preserve">Infrastructure Act spending accelerates; AI water cooling orders; 35x P/E</t>
  </si>
  <si>
    <t xml:space="preserve">ON</t>
  </si>
  <si>
    <t xml:space="preserve">EV penetration stalls; SiC inventory correction; 20x P/E trough</t>
  </si>
  <si>
    <t xml:space="preserve">~35x NTM P/E; SiC power electronics for EV and industrial AI</t>
  </si>
  <si>
    <t xml:space="preserve">SiC adoption accelerates; EV &gt;30% market share; 45x P/E premium</t>
  </si>
  <si>
    <t xml:space="preserve">Bear $900: 2 sequential GM declines + HBM4 slip + China restriction (none fired as of 7/7)</t>
  </si>
  <si>
    <t xml:space="preserve">Base $1,500: Q4 guide $50B, GM ~86%, HBM4 booked through CY2027; ~12.5x NTM EPS ~$120</t>
  </si>
  <si>
    <t xml:space="preserve">Bull $1,800: 15x on HBM supercycle continuation</t>
  </si>
  <si>
    <t xml:space="preserve">VALUATION METHODOLOGY REFERENCE</t>
  </si>
  <si>
    <t xml:space="preserve">SECTOR</t>
  </si>
  <si>
    <t xml:space="preserve">PRIMARY METHOD</t>
  </si>
  <si>
    <t xml:space="preserve">RATIONALE</t>
  </si>
  <si>
    <t xml:space="preserve">EV/NTM EBITDA</t>
  </si>
  <si>
    <t xml:space="preserve">Backlog and EBITDA most comparable; FCF yield secondary for utilities</t>
  </si>
  <si>
    <t xml:space="preserve">Industrial conglomerate; EBITDA reflects operating leverage</t>
  </si>
  <si>
    <t xml:space="preserve">AI-Networking (high-growth)</t>
  </si>
  <si>
    <t xml:space="preserve">EV/NTM Revenue</t>
  </si>
  <si>
    <t xml:space="preserve">Revenue multiple for &gt;30% growth; EBITDA unreliable for margin expansion phase</t>
  </si>
  <si>
    <t xml:space="preserve">AI-Networking (mature)</t>
  </si>
  <si>
    <t xml:space="preserve">P/NTM E</t>
  </si>
  <si>
    <t xml:space="preserve">FN, ANET at mature-ish growth; P/E captures software attach rate</t>
  </si>
  <si>
    <t xml:space="preserve">WFE companies valued on earnings; EV/EBITDA secondary for cycle context</t>
  </si>
  <si>
    <t xml:space="preserve">Commodity producer; EBITDA adjusts for volume/price sensitivity</t>
  </si>
  <si>
    <t xml:space="preserve">Data-Center-Infra (REIT)</t>
  </si>
  <si>
    <t xml:space="preserve">REITs use Revenue/NAV; AFFO used for mature names</t>
  </si>
  <si>
    <t xml:space="preserve">Data-Center-Infra (growth)</t>
  </si>
  <si>
    <t xml:space="preserve">NBIS, APLD are pre-EBITDA; revenue multiple only</t>
  </si>
  <si>
    <t xml:space="preserve">ON Semi at mature-ish growth; P/E with SiC content uplift</t>
  </si>
  <si>
    <t xml:space="preserve">PROBABILITY WEIGHTS</t>
  </si>
  <si>
    <t xml:space="preserve">BEAR  |  BASE  |  BULL</t>
  </si>
  <si>
    <t xml:space="preserve">High conviction</t>
  </si>
  <si>
    <t xml:space="preserve">20%  |  55%  |  25%</t>
  </si>
  <si>
    <t xml:space="preserve">Clear thesis, strong evidence, multiple confirmation signals</t>
  </si>
  <si>
    <t xml:space="preserve">Medium-High conviction</t>
  </si>
  <si>
    <t xml:space="preserve">Strong thesis, one key uncertainty remaining</t>
  </si>
  <si>
    <t xml:space="preserve">Medium conviction</t>
  </si>
  <si>
    <t xml:space="preserve">25%  |  50%  |  25%</t>
  </si>
  <si>
    <t xml:space="preserve">Thesis valid but execution risk or timeline uncertainty</t>
  </si>
  <si>
    <t xml:space="preserve">Speculative</t>
  </si>
  <si>
    <t xml:space="preserve">30%  |  45%  |  25%</t>
  </si>
  <si>
    <t xml:space="preserve">Pre-revenue or highly cyclical; wider outcome distribution</t>
  </si>
  <si>
    <t xml:space="preserve">COLOR CODING</t>
  </si>
  <si>
    <t xml:space="preserve">STANDARD</t>
  </si>
  <si>
    <t xml:space="preserve">Industry convention (matching SKILL.md)</t>
  </si>
  <si>
    <t xml:space="preserve">Blue text</t>
  </si>
  <si>
    <t xml:space="preserve">Hardcoded input</t>
  </si>
  <si>
    <t xml:space="preserve">Numbers entered by analyst — update quarterly</t>
  </si>
  <si>
    <t xml:space="preserve">Black text</t>
  </si>
  <si>
    <t xml:space="preserve">Formula</t>
  </si>
  <si>
    <t xml:space="preserve">Calculated values — do not edit</t>
  </si>
  <si>
    <t xml:space="preserve">Green shading</t>
  </si>
  <si>
    <t xml:space="preserve">Base case cells</t>
  </si>
  <si>
    <t xml:space="preserve">Our PT scenario</t>
  </si>
  <si>
    <t xml:space="preserve">Red shading</t>
  </si>
  <si>
    <t xml:space="preserve">Bear case cells</t>
  </si>
  <si>
    <t xml:space="preserve">Thesis breaks scenario</t>
  </si>
  <si>
    <t xml:space="preserve">Blue shading</t>
  </si>
  <si>
    <t xml:space="preserve">Bull case cells</t>
  </si>
  <si>
    <t xml:space="preserve">Upside scenario</t>
  </si>
  <si>
    <t xml:space="preserve">Yellow background</t>
  </si>
  <si>
    <t xml:space="preserve">Update required</t>
  </si>
  <si>
    <t xml:space="preserve">Cells needing quarterly update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</si>
</sst>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\$#,##0"/>
    <numFmt numFmtId="168" formatCode="0%"/>
    <numFmt numFmtId="169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E86AB"/>
      <name val="Arial"/>
      <family val="0"/>
      <charset val="1"/>
    </font>
    <font>
      <sz val="10"/>
      <color rgb="FFBF8F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6E4F0"/>
        <bgColor rgb="FFE0F0FF"/>
      </patternFill>
    </fill>
    <fill>
      <patternFill patternType="solid">
        <fgColor rgb="FF2E75B6"/>
        <bgColor rgb="FF2E86AB"/>
      </patternFill>
    </fill>
    <fill>
      <patternFill patternType="solid">
        <fgColor rgb="FF7B241C"/>
        <bgColor rgb="FF800000"/>
      </patternFill>
    </fill>
    <fill>
      <patternFill patternType="solid">
        <fgColor rgb="FF1E7145"/>
        <bgColor rgb="FF008080"/>
      </patternFill>
    </fill>
    <fill>
      <patternFill patternType="solid">
        <fgColor rgb="FF5B2C6F"/>
        <bgColor rgb="FF404040"/>
      </patternFill>
    </fill>
    <fill>
      <patternFill patternType="solid">
        <fgColor rgb="FF404040"/>
        <bgColor rgb="FF555555"/>
      </patternFill>
    </fill>
    <fill>
      <patternFill patternType="solid">
        <fgColor rgb="FFF2F2F2"/>
        <bgColor rgb="FFFFF0F0"/>
      </patternFill>
    </fill>
    <fill>
      <patternFill patternType="solid">
        <fgColor rgb="FFFFE8E8"/>
        <bgColor rgb="FFFFF0F0"/>
      </patternFill>
    </fill>
    <fill>
      <patternFill patternType="solid">
        <fgColor rgb="FFE8FFE8"/>
        <bgColor rgb="FFF0FFF0"/>
      </patternFill>
    </fill>
    <fill>
      <patternFill patternType="solid">
        <fgColor rgb="FFE0F0FF"/>
        <bgColor rgb="FFF2F2F2"/>
      </patternFill>
    </fill>
    <fill>
      <patternFill patternType="solid">
        <fgColor rgb="FFFFFFFF"/>
        <bgColor rgb="FFF8FFF8"/>
      </patternFill>
    </fill>
    <fill>
      <patternFill patternType="solid">
        <fgColor rgb="FFFFF0F0"/>
        <bgColor rgb="FFFFF8F8"/>
      </patternFill>
    </fill>
    <fill>
      <patternFill patternType="solid">
        <fgColor rgb="FFF0FFF0"/>
        <bgColor rgb="FFE8FFE8"/>
      </patternFill>
    </fill>
    <fill>
      <patternFill patternType="solid">
        <fgColor rgb="FFFFF8F8"/>
        <bgColor rgb="FFFFFFFF"/>
      </patternFill>
    </fill>
    <fill>
      <patternFill patternType="solid">
        <fgColor rgb="FFF8FF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CCCCC"/>
      <rgbColor rgb="FF888888"/>
      <rgbColor rgb="FF9999FF"/>
      <rgbColor rgb="FF993366"/>
      <rgbColor rgb="FFF0FFF0"/>
      <rgbColor rgb="FFE0F0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FE8"/>
      <rgbColor rgb="FFF2F2F2"/>
      <rgbColor rgb="FFFFF0F0"/>
      <rgbColor rgb="FFF8FFF8"/>
      <rgbColor rgb="FFFFF8F8"/>
      <rgbColor rgb="FFCC99FF"/>
      <rgbColor rgb="FFFFE8E8"/>
      <rgbColor rgb="FF2E75B6"/>
      <rgbColor rgb="FF33CCCC"/>
      <rgbColor rgb="FF99CC00"/>
      <rgbColor rgb="FFFFCC00"/>
      <rgbColor rgb="FFBF8F00"/>
      <rgbColor rgb="FFFF6600"/>
      <rgbColor rgb="FF555555"/>
      <rgbColor rgb="FF969696"/>
      <rgbColor rgb="FF1F3864"/>
      <rgbColor rgb="FF2E86AB"/>
      <rgbColor rgb="FF003300"/>
      <rgbColor rgb="FF333300"/>
      <rgbColor rgb="FF7B241C"/>
      <rgbColor rgb="FF993366"/>
      <rgbColor rgb="FF5B2C6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10" min="9" style="1" width="9"/>
    <col collapsed="false" customWidth="true" hidden="false" outlineLevel="0" max="11" min="11" style="1" width="8"/>
    <col collapsed="false" customWidth="true" hidden="false" outlineLevel="0" max="13" min="12" style="1" width="9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7" min="16" style="1" width="10"/>
    <col collapsed="false" customWidth="true" hidden="false" outlineLevel="0" max="18" min="18" style="1" width="11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8" hidden="false" customHeight="true" outlineLevel="0" collapsed="false">
      <c r="A3" s="4" t="s">
        <v>2</v>
      </c>
      <c r="B3" s="4"/>
      <c r="C3" s="5" t="s">
        <v>3</v>
      </c>
      <c r="D3" s="5"/>
      <c r="E3" s="5"/>
      <c r="F3" s="5"/>
      <c r="G3" s="6" t="s">
        <v>4</v>
      </c>
      <c r="H3" s="6"/>
      <c r="I3" s="6"/>
      <c r="J3" s="7" t="s">
        <v>5</v>
      </c>
      <c r="K3" s="7"/>
      <c r="L3" s="7"/>
      <c r="M3" s="8" t="s">
        <v>6</v>
      </c>
      <c r="N3" s="8"/>
      <c r="O3" s="8"/>
      <c r="P3" s="9" t="s">
        <v>7</v>
      </c>
      <c r="Q3" s="9"/>
      <c r="R3" s="9"/>
    </row>
    <row r="4" customFormat="false" ht="31.5" hidden="false" customHeight="true" outlineLevel="0" collapsed="false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16</v>
      </c>
      <c r="J4" s="10" t="s">
        <v>17</v>
      </c>
      <c r="K4" s="10" t="s">
        <v>18</v>
      </c>
      <c r="L4" s="10" t="s">
        <v>19</v>
      </c>
      <c r="M4" s="10" t="s">
        <v>20</v>
      </c>
      <c r="N4" s="10" t="s">
        <v>21</v>
      </c>
      <c r="O4" s="10" t="s">
        <v>22</v>
      </c>
      <c r="P4" s="10" t="s">
        <v>23</v>
      </c>
      <c r="Q4" s="10" t="s">
        <v>24</v>
      </c>
      <c r="R4" s="10" t="s">
        <v>25</v>
      </c>
    </row>
    <row r="5" customFormat="false" ht="15.75" hidden="false" customHeight="true" outlineLevel="0" collapsed="false">
      <c r="A5" s="11" t="s">
        <v>26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customFormat="false" ht="19.5" hidden="false" customHeight="true" outlineLevel="0" collapsed="false">
      <c r="A6" s="12" t="s">
        <v>27</v>
      </c>
      <c r="B6" s="13" t="s">
        <v>28</v>
      </c>
      <c r="C6" s="14" t="n">
        <v>265.56</v>
      </c>
      <c r="D6" s="15" t="n">
        <v>330</v>
      </c>
      <c r="E6" s="16" t="s">
        <v>29</v>
      </c>
      <c r="F6" s="17" t="n">
        <f aca="false">(D6-C6)/C6</f>
        <v>0.242657026660642</v>
      </c>
      <c r="G6" s="18" t="n">
        <v>120</v>
      </c>
      <c r="H6" s="19" t="n">
        <v>0.25</v>
      </c>
      <c r="I6" s="20" t="n">
        <f aca="false">G6/C6-1</f>
        <v>-0.548124717577949</v>
      </c>
      <c r="J6" s="21" t="n">
        <v>330</v>
      </c>
      <c r="K6" s="19" t="n">
        <v>0.5</v>
      </c>
      <c r="L6" s="22" t="n">
        <f aca="false">J6/C6-1</f>
        <v>0.242657026660642</v>
      </c>
      <c r="M6" s="23" t="n">
        <v>450</v>
      </c>
      <c r="N6" s="19" t="n">
        <v>0.25</v>
      </c>
      <c r="O6" s="24" t="n">
        <f aca="false">M6/C6-1</f>
        <v>0.694532309082693</v>
      </c>
      <c r="P6" s="25" t="n">
        <f aca="false">G6*H6+J6*K6+M6*N6</f>
        <v>307.5</v>
      </c>
      <c r="Q6" s="17" t="n">
        <f aca="false">P6/C6-1</f>
        <v>0.157930411206507</v>
      </c>
      <c r="R6" s="26" t="s">
        <v>30</v>
      </c>
    </row>
    <row r="7" customFormat="false" ht="19.5" hidden="false" customHeight="true" outlineLevel="0" collapsed="false">
      <c r="A7" s="12" t="s">
        <v>31</v>
      </c>
      <c r="B7" s="27" t="s">
        <v>28</v>
      </c>
      <c r="C7" s="28" t="n">
        <v>913.49</v>
      </c>
      <c r="D7" s="29" t="n">
        <v>1150</v>
      </c>
      <c r="E7" s="30" t="s">
        <v>32</v>
      </c>
      <c r="F7" s="31" t="n">
        <f aca="false">(D7-C7)/C7</f>
        <v>0.258908143493634</v>
      </c>
      <c r="G7" s="32" t="n">
        <v>620</v>
      </c>
      <c r="H7" s="33" t="n">
        <v>0.2</v>
      </c>
      <c r="I7" s="34" t="n">
        <f aca="false">G7/C7-1</f>
        <v>-0.32128430524691</v>
      </c>
      <c r="J7" s="35" t="n">
        <v>1150</v>
      </c>
      <c r="K7" s="33" t="n">
        <v>0.55</v>
      </c>
      <c r="L7" s="36" t="n">
        <f aca="false">J7/C7-1</f>
        <v>0.258908143493634</v>
      </c>
      <c r="M7" s="37" t="n">
        <v>1250</v>
      </c>
      <c r="N7" s="33" t="n">
        <v>0.25</v>
      </c>
      <c r="O7" s="38" t="n">
        <f aca="false">M7/C7-1</f>
        <v>0.368378416840907</v>
      </c>
      <c r="P7" s="39" t="n">
        <f aca="false">G7*H7+J7*K7+M7*N7</f>
        <v>1069</v>
      </c>
      <c r="Q7" s="40" t="n">
        <f aca="false">P7/C7-1</f>
        <v>0.170237222082344</v>
      </c>
      <c r="R7" s="41" t="s">
        <v>33</v>
      </c>
    </row>
    <row r="8" customFormat="false" ht="19.5" hidden="false" customHeight="true" outlineLevel="0" collapsed="false">
      <c r="A8" s="12" t="s">
        <v>34</v>
      </c>
      <c r="B8" s="13" t="s">
        <v>28</v>
      </c>
      <c r="C8" s="14" t="n">
        <v>242.26</v>
      </c>
      <c r="D8" s="15" t="n">
        <v>385</v>
      </c>
      <c r="E8" s="16" t="s">
        <v>35</v>
      </c>
      <c r="F8" s="17" t="n">
        <f aca="false">(D8-C8)/C8</f>
        <v>0.589201684141006</v>
      </c>
      <c r="G8" s="18" t="n">
        <v>220</v>
      </c>
      <c r="H8" s="19" t="n">
        <v>0.2</v>
      </c>
      <c r="I8" s="20" t="n">
        <f aca="false">G8/C8-1</f>
        <v>-0.0918847519194254</v>
      </c>
      <c r="J8" s="21" t="n">
        <v>385</v>
      </c>
      <c r="K8" s="19" t="n">
        <v>0.55</v>
      </c>
      <c r="L8" s="22" t="n">
        <f aca="false">J8/C8-1</f>
        <v>0.589201684141006</v>
      </c>
      <c r="M8" s="23" t="n">
        <v>460</v>
      </c>
      <c r="N8" s="19" t="n">
        <v>0.25</v>
      </c>
      <c r="O8" s="24" t="n">
        <f aca="false">M8/C8-1</f>
        <v>0.898786427804838</v>
      </c>
      <c r="P8" s="25" t="n">
        <f aca="false">G8*H8+J8*K8+M8*N8</f>
        <v>370.75</v>
      </c>
      <c r="Q8" s="17" t="n">
        <f aca="false">P8/C8-1</f>
        <v>0.530380582844878</v>
      </c>
      <c r="R8" s="26" t="s">
        <v>30</v>
      </c>
    </row>
    <row r="9" customFormat="false" ht="19.5" hidden="false" customHeight="true" outlineLevel="0" collapsed="false">
      <c r="A9" s="12" t="s">
        <v>36</v>
      </c>
      <c r="B9" s="27" t="s">
        <v>28</v>
      </c>
      <c r="C9" s="28" t="n">
        <v>1036.56</v>
      </c>
      <c r="D9" s="29" t="n">
        <v>1200</v>
      </c>
      <c r="E9" s="30" t="s">
        <v>35</v>
      </c>
      <c r="F9" s="40" t="n">
        <f aca="false">(D9-C9)/C9</f>
        <v>0.157675387821255</v>
      </c>
      <c r="G9" s="32" t="n">
        <v>600</v>
      </c>
      <c r="H9" s="33" t="n">
        <v>0.2</v>
      </c>
      <c r="I9" s="34" t="n">
        <f aca="false">G9/C9-1</f>
        <v>-0.421162306089373</v>
      </c>
      <c r="J9" s="35" t="n">
        <v>1200</v>
      </c>
      <c r="K9" s="33" t="n">
        <v>0.55</v>
      </c>
      <c r="L9" s="36" t="n">
        <f aca="false">J9/C9-1</f>
        <v>0.157675387821255</v>
      </c>
      <c r="M9" s="37" t="n">
        <v>1500</v>
      </c>
      <c r="N9" s="33" t="n">
        <v>0.25</v>
      </c>
      <c r="O9" s="38" t="n">
        <f aca="false">M9/C9-1</f>
        <v>0.447094234776569</v>
      </c>
      <c r="P9" s="39" t="n">
        <f aca="false">G9*H9+J9*K9+M9*N9</f>
        <v>1155</v>
      </c>
      <c r="Q9" s="40" t="n">
        <f aca="false">P9/C9-1</f>
        <v>0.114262560777958</v>
      </c>
      <c r="R9" s="42" t="s">
        <v>30</v>
      </c>
    </row>
    <row r="10" customFormat="false" ht="19.5" hidden="false" customHeight="true" outlineLevel="0" collapsed="false">
      <c r="A10" s="12" t="s">
        <v>37</v>
      </c>
      <c r="B10" s="13" t="s">
        <v>28</v>
      </c>
      <c r="C10" s="14" t="n">
        <v>231.49</v>
      </c>
      <c r="D10" s="15" t="n">
        <v>320</v>
      </c>
      <c r="E10" s="16" t="s">
        <v>32</v>
      </c>
      <c r="F10" s="17" t="n">
        <f aca="false">(D10-C10)/C10</f>
        <v>0.382349129552032</v>
      </c>
      <c r="G10" s="18" t="n">
        <v>175</v>
      </c>
      <c r="H10" s="19" t="n">
        <v>0.25</v>
      </c>
      <c r="I10" s="20" t="n">
        <f aca="false">G10/C10-1</f>
        <v>-0.244027819776232</v>
      </c>
      <c r="J10" s="21" t="n">
        <v>320</v>
      </c>
      <c r="K10" s="19" t="n">
        <v>0.5</v>
      </c>
      <c r="L10" s="22" t="n">
        <f aca="false">J10/C10-1</f>
        <v>0.382349129552033</v>
      </c>
      <c r="M10" s="23" t="n">
        <v>400</v>
      </c>
      <c r="N10" s="19" t="n">
        <v>0.25</v>
      </c>
      <c r="O10" s="24" t="n">
        <f aca="false">M10/C10-1</f>
        <v>0.72793641194004</v>
      </c>
      <c r="P10" s="25" t="n">
        <f aca="false">G10*H10+J10*K10+M10*N10</f>
        <v>303.75</v>
      </c>
      <c r="Q10" s="17" t="n">
        <f aca="false">P10/C10-1</f>
        <v>0.312151712816968</v>
      </c>
      <c r="R10" s="43" t="s">
        <v>38</v>
      </c>
    </row>
    <row r="11" customFormat="false" ht="19.5" hidden="false" customHeight="true" outlineLevel="0" collapsed="false">
      <c r="A11" s="12" t="s">
        <v>39</v>
      </c>
      <c r="B11" s="27" t="s">
        <v>28</v>
      </c>
      <c r="C11" s="28" t="n">
        <v>474.02</v>
      </c>
      <c r="D11" s="29" t="n">
        <v>545</v>
      </c>
      <c r="E11" s="30" t="s">
        <v>32</v>
      </c>
      <c r="F11" s="31" t="n">
        <f aca="false">(D11-C11)/C11</f>
        <v>0.149740517277752</v>
      </c>
      <c r="G11" s="32" t="n">
        <v>320</v>
      </c>
      <c r="H11" s="33" t="n">
        <v>0.2</v>
      </c>
      <c r="I11" s="34" t="n">
        <f aca="false">G11/C11-1</f>
        <v>-0.324922999029577</v>
      </c>
      <c r="J11" s="35" t="n">
        <v>545</v>
      </c>
      <c r="K11" s="33" t="n">
        <v>0.55</v>
      </c>
      <c r="L11" s="36" t="n">
        <f aca="false">J11/C11-1</f>
        <v>0.149740517277752</v>
      </c>
      <c r="M11" s="37" t="n">
        <v>600</v>
      </c>
      <c r="N11" s="33" t="n">
        <v>0.25</v>
      </c>
      <c r="O11" s="38" t="n">
        <f aca="false">M11/C11-1</f>
        <v>0.265769376819544</v>
      </c>
      <c r="P11" s="39" t="n">
        <f aca="false">G11*H11+J11*K11+M11*N11</f>
        <v>513.75</v>
      </c>
      <c r="Q11" s="40" t="n">
        <f aca="false">P11/C11-1</f>
        <v>0.0838150289017341</v>
      </c>
      <c r="R11" s="41" t="s">
        <v>33</v>
      </c>
    </row>
    <row r="12" customFormat="false" ht="19.5" hidden="false" customHeight="true" outlineLevel="0" collapsed="false">
      <c r="A12" s="12" t="s">
        <v>40</v>
      </c>
      <c r="B12" s="13" t="s">
        <v>28</v>
      </c>
      <c r="C12" s="14" t="n">
        <v>138.04</v>
      </c>
      <c r="D12" s="15" t="n">
        <v>185</v>
      </c>
      <c r="E12" s="16" t="s">
        <v>35</v>
      </c>
      <c r="F12" s="17" t="n">
        <f aca="false">(D12-C12)/C12</f>
        <v>0.340191248913359</v>
      </c>
      <c r="G12" s="18" t="n">
        <v>110</v>
      </c>
      <c r="H12" s="19" t="n">
        <v>0.25</v>
      </c>
      <c r="I12" s="20" t="n">
        <f aca="false">G12/C12-1</f>
        <v>-0.203129527673138</v>
      </c>
      <c r="J12" s="21" t="n">
        <v>185</v>
      </c>
      <c r="K12" s="19" t="n">
        <v>0.5</v>
      </c>
      <c r="L12" s="22" t="n">
        <f aca="false">J12/C12-1</f>
        <v>0.340191248913359</v>
      </c>
      <c r="M12" s="23" t="n">
        <v>255</v>
      </c>
      <c r="N12" s="19" t="n">
        <v>0.25</v>
      </c>
      <c r="O12" s="24" t="n">
        <f aca="false">M12/C12-1</f>
        <v>0.847290640394089</v>
      </c>
      <c r="P12" s="25" t="n">
        <f aca="false">G12*H12+J12*K12+M12*N12</f>
        <v>183.75</v>
      </c>
      <c r="Q12" s="17" t="n">
        <f aca="false">P12/C12-1</f>
        <v>0.331135902636917</v>
      </c>
      <c r="R12" s="26" t="s">
        <v>30</v>
      </c>
    </row>
    <row r="13" customFormat="false" ht="19.5" hidden="false" customHeight="true" outlineLevel="0" collapsed="false">
      <c r="A13" s="12" t="s">
        <v>41</v>
      </c>
      <c r="B13" s="27" t="s">
        <v>28</v>
      </c>
      <c r="C13" s="28" t="n">
        <v>154.73</v>
      </c>
      <c r="D13" s="29" t="n">
        <v>230</v>
      </c>
      <c r="E13" s="30" t="s">
        <v>35</v>
      </c>
      <c r="F13" s="40" t="n">
        <f aca="false">(D13-C13)/C13</f>
        <v>0.48646028565889</v>
      </c>
      <c r="G13" s="32" t="n">
        <v>145</v>
      </c>
      <c r="H13" s="33" t="n">
        <v>0.2</v>
      </c>
      <c r="I13" s="34" t="n">
        <f aca="false">G13/C13-1</f>
        <v>-0.0628837329541782</v>
      </c>
      <c r="J13" s="35" t="n">
        <v>230</v>
      </c>
      <c r="K13" s="33" t="n">
        <v>0.55</v>
      </c>
      <c r="L13" s="36" t="n">
        <f aca="false">J13/C13-1</f>
        <v>0.48646028565889</v>
      </c>
      <c r="M13" s="37" t="n">
        <v>290</v>
      </c>
      <c r="N13" s="33" t="n">
        <v>0.25</v>
      </c>
      <c r="O13" s="38" t="n">
        <f aca="false">M13/C13-1</f>
        <v>0.874232534091644</v>
      </c>
      <c r="P13" s="39" t="n">
        <f aca="false">G13*H13+J13*K13+M13*N13</f>
        <v>228</v>
      </c>
      <c r="Q13" s="40" t="n">
        <f aca="false">P13/C13-1</f>
        <v>0.473534544044465</v>
      </c>
      <c r="R13" s="42" t="s">
        <v>30</v>
      </c>
    </row>
    <row r="14" customFormat="false" ht="15.75" hidden="false" customHeight="true" outlineLevel="0" collapsed="false">
      <c r="A14" s="11" t="s">
        <v>42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customFormat="false" ht="19.5" hidden="false" customHeight="true" outlineLevel="0" collapsed="false">
      <c r="A15" s="12" t="s">
        <v>43</v>
      </c>
      <c r="B15" s="27" t="s">
        <v>44</v>
      </c>
      <c r="C15" s="28" t="n">
        <v>216.6</v>
      </c>
      <c r="D15" s="29" t="n">
        <v>355</v>
      </c>
      <c r="E15" s="30" t="s">
        <v>35</v>
      </c>
      <c r="F15" s="40" t="n">
        <f aca="false">(D15-C15)/C15</f>
        <v>0.638965835641736</v>
      </c>
      <c r="G15" s="32" t="n">
        <v>150</v>
      </c>
      <c r="H15" s="33" t="n">
        <v>0.25</v>
      </c>
      <c r="I15" s="34" t="n">
        <f aca="false">G15/C15-1</f>
        <v>-0.307479224376731</v>
      </c>
      <c r="J15" s="35" t="n">
        <v>355</v>
      </c>
      <c r="K15" s="33" t="n">
        <v>0.5</v>
      </c>
      <c r="L15" s="36" t="n">
        <f aca="false">J15/C15-1</f>
        <v>0.638965835641736</v>
      </c>
      <c r="M15" s="37" t="n">
        <v>450</v>
      </c>
      <c r="N15" s="33" t="n">
        <v>0.25</v>
      </c>
      <c r="O15" s="38" t="n">
        <f aca="false">M15/C15-1</f>
        <v>1.07756232686981</v>
      </c>
      <c r="P15" s="39" t="n">
        <f aca="false">G15*H15+J15*K15+M15*N15</f>
        <v>327.5</v>
      </c>
      <c r="Q15" s="40" t="n">
        <f aca="false">P15/C15-1</f>
        <v>0.512003693444137</v>
      </c>
      <c r="R15" s="41" t="s">
        <v>33</v>
      </c>
    </row>
    <row r="16" customFormat="false" ht="19.5" hidden="false" customHeight="true" outlineLevel="0" collapsed="false">
      <c r="A16" s="12" t="s">
        <v>45</v>
      </c>
      <c r="B16" s="13" t="s">
        <v>44</v>
      </c>
      <c r="C16" s="14" t="n">
        <v>219.76</v>
      </c>
      <c r="D16" s="15" t="n">
        <v>250</v>
      </c>
      <c r="E16" s="16" t="s">
        <v>32</v>
      </c>
      <c r="F16" s="44" t="n">
        <f aca="false">(D16-C16)/C16</f>
        <v>0.137604659628686</v>
      </c>
      <c r="G16" s="18" t="n">
        <v>150</v>
      </c>
      <c r="H16" s="19" t="n">
        <v>0.25</v>
      </c>
      <c r="I16" s="20" t="n">
        <f aca="false">G16/C16-1</f>
        <v>-0.317437204222788</v>
      </c>
      <c r="J16" s="21" t="n">
        <v>250</v>
      </c>
      <c r="K16" s="19" t="n">
        <v>0.5</v>
      </c>
      <c r="L16" s="22" t="n">
        <f aca="false">J16/C16-1</f>
        <v>0.137604659628686</v>
      </c>
      <c r="M16" s="23" t="n">
        <v>300</v>
      </c>
      <c r="N16" s="19" t="n">
        <v>0.25</v>
      </c>
      <c r="O16" s="24" t="n">
        <f aca="false">M16/C16-1</f>
        <v>0.365125591554423</v>
      </c>
      <c r="P16" s="25" t="n">
        <f aca="false">G16*H16+J16*K16+M16*N16</f>
        <v>237.5</v>
      </c>
      <c r="Q16" s="17" t="n">
        <f aca="false">P16/C16-1</f>
        <v>0.0807244266472516</v>
      </c>
      <c r="R16" s="43" t="s">
        <v>38</v>
      </c>
    </row>
    <row r="17" customFormat="false" ht="19.5" hidden="false" customHeight="true" outlineLevel="0" collapsed="false">
      <c r="A17" s="12" t="s">
        <v>46</v>
      </c>
      <c r="B17" s="27" t="s">
        <v>44</v>
      </c>
      <c r="C17" s="28" t="n">
        <v>288.49</v>
      </c>
      <c r="D17" s="29" t="n">
        <v>370</v>
      </c>
      <c r="E17" s="30" t="s">
        <v>35</v>
      </c>
      <c r="F17" s="40" t="n">
        <f aca="false">(D17-C17)/C17</f>
        <v>0.282540122707893</v>
      </c>
      <c r="G17" s="32" t="n">
        <v>220</v>
      </c>
      <c r="H17" s="33" t="n">
        <v>0.2</v>
      </c>
      <c r="I17" s="34" t="n">
        <f aca="false">G17/C17-1</f>
        <v>-0.237408575687199</v>
      </c>
      <c r="J17" s="35" t="n">
        <v>370</v>
      </c>
      <c r="K17" s="33" t="n">
        <v>0.55</v>
      </c>
      <c r="L17" s="36" t="n">
        <f aca="false">J17/C17-1</f>
        <v>0.282540122707893</v>
      </c>
      <c r="M17" s="37" t="n">
        <v>500</v>
      </c>
      <c r="N17" s="33" t="n">
        <v>0.25</v>
      </c>
      <c r="O17" s="38" t="n">
        <f aca="false">M17/C17-1</f>
        <v>0.733162327983639</v>
      </c>
      <c r="P17" s="39" t="n">
        <f aca="false">G17*H17+J17*K17+M17*N17</f>
        <v>372.5</v>
      </c>
      <c r="Q17" s="40" t="n">
        <f aca="false">P17/C17-1</f>
        <v>0.291205934347811</v>
      </c>
      <c r="R17" s="42" t="s">
        <v>30</v>
      </c>
    </row>
    <row r="18" customFormat="false" ht="15.75" hidden="false" customHeight="true" outlineLevel="0" collapsed="false">
      <c r="A18" s="11" t="s">
        <v>47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customFormat="false" ht="19.5" hidden="false" customHeight="true" outlineLevel="0" collapsed="false">
      <c r="A19" s="12" t="s">
        <v>48</v>
      </c>
      <c r="B19" s="27" t="s">
        <v>49</v>
      </c>
      <c r="C19" s="28" t="n">
        <v>163.39</v>
      </c>
      <c r="D19" s="29" t="n">
        <v>185</v>
      </c>
      <c r="E19" s="30" t="s">
        <v>29</v>
      </c>
      <c r="F19" s="31" t="n">
        <f aca="false">(D19-C19)/C19</f>
        <v>0.132260236244568</v>
      </c>
      <c r="G19" s="32" t="n">
        <v>90</v>
      </c>
      <c r="H19" s="33" t="n">
        <v>0.2</v>
      </c>
      <c r="I19" s="34" t="n">
        <f aca="false">G19/C19-1</f>
        <v>-0.449170695881021</v>
      </c>
      <c r="J19" s="35" t="n">
        <v>185</v>
      </c>
      <c r="K19" s="33" t="n">
        <v>0.55</v>
      </c>
      <c r="L19" s="36" t="n">
        <f aca="false">J19/C19-1</f>
        <v>0.132260236244568</v>
      </c>
      <c r="M19" s="37" t="n">
        <v>220</v>
      </c>
      <c r="N19" s="33" t="n">
        <v>0.25</v>
      </c>
      <c r="O19" s="38" t="n">
        <f aca="false">M19/C19-1</f>
        <v>0.346471632290838</v>
      </c>
      <c r="P19" s="39" t="n">
        <f aca="false">G19*H19+J19*K19+M19*N19</f>
        <v>174.75</v>
      </c>
      <c r="Q19" s="40" t="n">
        <f aca="false">P19/C19-1</f>
        <v>0.0695268988310178</v>
      </c>
      <c r="R19" s="42" t="s">
        <v>30</v>
      </c>
    </row>
    <row r="20" customFormat="false" ht="19.5" hidden="false" customHeight="true" outlineLevel="0" collapsed="false">
      <c r="A20" s="12" t="s">
        <v>50</v>
      </c>
      <c r="B20" s="13" t="s">
        <v>49</v>
      </c>
      <c r="C20" s="14" t="n">
        <v>363.05</v>
      </c>
      <c r="D20" s="15" t="n">
        <v>560</v>
      </c>
      <c r="E20" s="16" t="s">
        <v>29</v>
      </c>
      <c r="F20" s="17" t="n">
        <f aca="false">(D20-C20)/C20</f>
        <v>0.542487260707891</v>
      </c>
      <c r="G20" s="18" t="n">
        <v>350</v>
      </c>
      <c r="H20" s="19" t="n">
        <v>0.2</v>
      </c>
      <c r="I20" s="20" t="n">
        <f aca="false">G20/C20-1</f>
        <v>-0.0359454620575679</v>
      </c>
      <c r="J20" s="21" t="n">
        <v>560</v>
      </c>
      <c r="K20" s="19" t="n">
        <v>0.55</v>
      </c>
      <c r="L20" s="22" t="n">
        <f aca="false">J20/C20-1</f>
        <v>0.542487260707891</v>
      </c>
      <c r="M20" s="23" t="n">
        <v>700</v>
      </c>
      <c r="N20" s="19" t="n">
        <v>0.25</v>
      </c>
      <c r="O20" s="24" t="n">
        <f aca="false">M20/C20-1</f>
        <v>0.928109075884864</v>
      </c>
      <c r="P20" s="25" t="n">
        <f aca="false">G20*H20+J20*K20+M20*N20</f>
        <v>553</v>
      </c>
      <c r="Q20" s="17" t="n">
        <f aca="false">P20/C20-1</f>
        <v>0.523206169949043</v>
      </c>
      <c r="R20" s="26" t="s">
        <v>30</v>
      </c>
    </row>
    <row r="21" customFormat="false" ht="19.5" hidden="false" customHeight="true" outlineLevel="0" collapsed="false">
      <c r="A21" s="12" t="s">
        <v>51</v>
      </c>
      <c r="B21" s="27" t="s">
        <v>49</v>
      </c>
      <c r="C21" s="28" t="n">
        <v>331.47</v>
      </c>
      <c r="D21" s="29" t="n">
        <v>530</v>
      </c>
      <c r="E21" s="30" t="s">
        <v>29</v>
      </c>
      <c r="F21" s="40" t="n">
        <f aca="false">(D21-C21)/C21</f>
        <v>0.598938063776511</v>
      </c>
      <c r="G21" s="32" t="n">
        <v>250</v>
      </c>
      <c r="H21" s="33" t="n">
        <v>0.2</v>
      </c>
      <c r="I21" s="34" t="n">
        <f aca="false">G21/C21-1</f>
        <v>-0.245783932180891</v>
      </c>
      <c r="J21" s="35" t="n">
        <v>530</v>
      </c>
      <c r="K21" s="33" t="n">
        <v>0.55</v>
      </c>
      <c r="L21" s="36" t="n">
        <f aca="false">J21/C21-1</f>
        <v>0.598938063776511</v>
      </c>
      <c r="M21" s="37" t="n">
        <v>650</v>
      </c>
      <c r="N21" s="33" t="n">
        <v>0.25</v>
      </c>
      <c r="O21" s="38" t="n">
        <f aca="false">M21/C21-1</f>
        <v>0.960961776329683</v>
      </c>
      <c r="P21" s="39" t="n">
        <f aca="false">G21*H21+J21*K21+M21*N21</f>
        <v>504</v>
      </c>
      <c r="Q21" s="40" t="n">
        <f aca="false">P21/C21-1</f>
        <v>0.520499592723323</v>
      </c>
      <c r="R21" s="41" t="s">
        <v>33</v>
      </c>
    </row>
    <row r="22" customFormat="false" ht="19.5" hidden="false" customHeight="true" outlineLevel="0" collapsed="false">
      <c r="A22" s="12" t="s">
        <v>52</v>
      </c>
      <c r="B22" s="13" t="s">
        <v>49</v>
      </c>
      <c r="C22" s="14" t="n">
        <v>463.98</v>
      </c>
      <c r="D22" s="15" t="n">
        <v>720</v>
      </c>
      <c r="E22" s="16" t="s">
        <v>32</v>
      </c>
      <c r="F22" s="44" t="n">
        <f aca="false">(D22-C22)/C22</f>
        <v>0.551791025475236</v>
      </c>
      <c r="G22" s="18" t="n">
        <v>450</v>
      </c>
      <c r="H22" s="19" t="n">
        <v>0.2</v>
      </c>
      <c r="I22" s="20" t="n">
        <f aca="false">G22/C22-1</f>
        <v>-0.0301306090779775</v>
      </c>
      <c r="J22" s="21" t="n">
        <v>720</v>
      </c>
      <c r="K22" s="19" t="n">
        <v>0.55</v>
      </c>
      <c r="L22" s="22" t="n">
        <f aca="false">J22/C22-1</f>
        <v>0.551791025475236</v>
      </c>
      <c r="M22" s="23" t="n">
        <v>900</v>
      </c>
      <c r="N22" s="19" t="n">
        <v>0.25</v>
      </c>
      <c r="O22" s="24" t="n">
        <f aca="false">M22/C22-1</f>
        <v>0.939738781844045</v>
      </c>
      <c r="P22" s="25" t="n">
        <f aca="false">G22*H22+J22*K22+M22*N22</f>
        <v>711</v>
      </c>
      <c r="Q22" s="17" t="n">
        <f aca="false">P22/C22-1</f>
        <v>0.532393637656796</v>
      </c>
      <c r="R22" s="45" t="s">
        <v>33</v>
      </c>
    </row>
    <row r="23" customFormat="false" ht="19.5" hidden="false" customHeight="true" outlineLevel="0" collapsed="false">
      <c r="A23" s="12" t="s">
        <v>53</v>
      </c>
      <c r="B23" s="27" t="s">
        <v>49</v>
      </c>
      <c r="C23" s="28" t="n">
        <v>684.45</v>
      </c>
      <c r="D23" s="29" t="n">
        <v>1150</v>
      </c>
      <c r="E23" s="30" t="s">
        <v>29</v>
      </c>
      <c r="F23" s="40" t="n">
        <f aca="false">(D23-C23)/C23</f>
        <v>0.680181167360655</v>
      </c>
      <c r="G23" s="32" t="n">
        <v>600</v>
      </c>
      <c r="H23" s="33" t="n">
        <v>0.25</v>
      </c>
      <c r="I23" s="34" t="n">
        <f aca="false">G23/C23-1</f>
        <v>-0.123383738768354</v>
      </c>
      <c r="J23" s="35" t="n">
        <v>1150</v>
      </c>
      <c r="K23" s="33" t="n">
        <v>0.5</v>
      </c>
      <c r="L23" s="36" t="n">
        <f aca="false">J23/C23-1</f>
        <v>0.680181167360654</v>
      </c>
      <c r="M23" s="37" t="n">
        <v>1400</v>
      </c>
      <c r="N23" s="33" t="n">
        <v>0.25</v>
      </c>
      <c r="O23" s="38" t="n">
        <f aca="false">M23/C23-1</f>
        <v>1.04543794287384</v>
      </c>
      <c r="P23" s="39" t="n">
        <f aca="false">G23*H23+J23*K23+M23*N23</f>
        <v>1075</v>
      </c>
      <c r="Q23" s="40" t="n">
        <f aca="false">P23/C23-1</f>
        <v>0.570604134706699</v>
      </c>
      <c r="R23" s="41" t="s">
        <v>33</v>
      </c>
    </row>
    <row r="24" customFormat="false" ht="19.5" hidden="false" customHeight="true" outlineLevel="0" collapsed="false">
      <c r="A24" s="12" t="s">
        <v>54</v>
      </c>
      <c r="B24" s="13" t="s">
        <v>49</v>
      </c>
      <c r="C24" s="14" t="n">
        <v>224.39</v>
      </c>
      <c r="D24" s="15" t="n">
        <v>370</v>
      </c>
      <c r="E24" s="16" t="s">
        <v>29</v>
      </c>
      <c r="F24" s="17" t="n">
        <f aca="false">(D24-C24)/C24</f>
        <v>0.648914835776996</v>
      </c>
      <c r="G24" s="18" t="n">
        <v>180</v>
      </c>
      <c r="H24" s="19" t="n">
        <v>0.2</v>
      </c>
      <c r="I24" s="20" t="n">
        <f aca="false">G24/C24-1</f>
        <v>-0.197825215027408</v>
      </c>
      <c r="J24" s="21" t="n">
        <v>370</v>
      </c>
      <c r="K24" s="19" t="n">
        <v>0.55</v>
      </c>
      <c r="L24" s="22" t="n">
        <f aca="false">J24/C24-1</f>
        <v>0.648914835776996</v>
      </c>
      <c r="M24" s="23" t="n">
        <v>500</v>
      </c>
      <c r="N24" s="19" t="n">
        <v>0.25</v>
      </c>
      <c r="O24" s="24" t="n">
        <f aca="false">M24/C24-1</f>
        <v>1.22826329159053</v>
      </c>
      <c r="P24" s="25" t="n">
        <f aca="false">G24*H24+J24*K24+M24*N24</f>
        <v>364.5</v>
      </c>
      <c r="Q24" s="17" t="n">
        <f aca="false">P24/C24-1</f>
        <v>0.6244039395695</v>
      </c>
      <c r="R24" s="26" t="s">
        <v>30</v>
      </c>
    </row>
    <row r="25" customFormat="false" ht="15.75" hidden="false" customHeight="true" outlineLevel="0" collapsed="false">
      <c r="A25" s="11" t="s">
        <v>55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customFormat="false" ht="19.5" hidden="false" customHeight="true" outlineLevel="0" collapsed="false">
      <c r="A26" s="12" t="s">
        <v>56</v>
      </c>
      <c r="B26" s="13" t="s">
        <v>57</v>
      </c>
      <c r="C26" s="14" t="n">
        <v>533.09</v>
      </c>
      <c r="D26" s="15" t="n">
        <v>680</v>
      </c>
      <c r="E26" s="16" t="s">
        <v>32</v>
      </c>
      <c r="F26" s="44" t="n">
        <f aca="false">(D26-C26)/C26</f>
        <v>0.275581984280328</v>
      </c>
      <c r="G26" s="18" t="n">
        <v>300</v>
      </c>
      <c r="H26" s="19" t="n">
        <v>0.2</v>
      </c>
      <c r="I26" s="20" t="n">
        <f aca="false">G26/C26-1</f>
        <v>-0.437243242229267</v>
      </c>
      <c r="J26" s="21" t="n">
        <v>680</v>
      </c>
      <c r="K26" s="19" t="n">
        <v>0.55</v>
      </c>
      <c r="L26" s="22" t="n">
        <f aca="false">J26/C26-1</f>
        <v>0.275581984280328</v>
      </c>
      <c r="M26" s="23" t="n">
        <v>700</v>
      </c>
      <c r="N26" s="19" t="n">
        <v>0.25</v>
      </c>
      <c r="O26" s="24" t="n">
        <f aca="false">M26/C26-1</f>
        <v>0.313099101465043</v>
      </c>
      <c r="P26" s="25" t="n">
        <f aca="false">G26*H26+J26*K26+M26*N26</f>
        <v>609</v>
      </c>
      <c r="Q26" s="17" t="n">
        <f aca="false">P26/C26-1</f>
        <v>0.142396218274588</v>
      </c>
      <c r="R26" s="45" t="s">
        <v>33</v>
      </c>
    </row>
    <row r="27" customFormat="false" ht="19.5" hidden="false" customHeight="true" outlineLevel="0" collapsed="false">
      <c r="A27" s="12" t="s">
        <v>58</v>
      </c>
      <c r="B27" s="27" t="s">
        <v>59</v>
      </c>
      <c r="C27" s="28" t="n">
        <v>901.8</v>
      </c>
      <c r="D27" s="29" t="n">
        <v>1500</v>
      </c>
      <c r="E27" s="30" t="s">
        <v>60</v>
      </c>
      <c r="F27" s="31" t="n">
        <f aca="false">(D27-C27)/C27</f>
        <v>0.66333998669328</v>
      </c>
      <c r="G27" s="32" t="n">
        <v>900</v>
      </c>
      <c r="H27" s="33" t="n">
        <v>0.2</v>
      </c>
      <c r="I27" s="34" t="n">
        <f aca="false">G27/C27-1</f>
        <v>-0.00199600798403188</v>
      </c>
      <c r="J27" s="35" t="n">
        <v>1500</v>
      </c>
      <c r="K27" s="33" t="n">
        <v>0.55</v>
      </c>
      <c r="L27" s="36" t="n">
        <f aca="false">J27/C27-1</f>
        <v>0.66333998669328</v>
      </c>
      <c r="M27" s="37" t="n">
        <v>1800</v>
      </c>
      <c r="N27" s="33" t="n">
        <v>0.25</v>
      </c>
      <c r="O27" s="38" t="n">
        <f aca="false">M27/C27-1</f>
        <v>0.996007984031936</v>
      </c>
      <c r="P27" s="39" t="n">
        <f aca="false">G27*H27+J27*K27+M27*N27</f>
        <v>1455</v>
      </c>
      <c r="Q27" s="40" t="n">
        <f aca="false">P27/C27-1</f>
        <v>0.613439787092482</v>
      </c>
      <c r="R27" s="46" t="s">
        <v>30</v>
      </c>
    </row>
    <row r="28" customFormat="false" ht="19.5" hidden="false" customHeight="true" outlineLevel="0" collapsed="false">
      <c r="A28" s="12" t="s">
        <v>61</v>
      </c>
      <c r="B28" s="13" t="s">
        <v>57</v>
      </c>
      <c r="C28" s="14" t="n">
        <v>315.68</v>
      </c>
      <c r="D28" s="15" t="n">
        <v>450</v>
      </c>
      <c r="E28" s="16" t="s">
        <v>32</v>
      </c>
      <c r="F28" s="44" t="n">
        <f aca="false">(D28-C28)/C28</f>
        <v>0.425494171312722</v>
      </c>
      <c r="G28" s="18" t="n">
        <v>200</v>
      </c>
      <c r="H28" s="19" t="n">
        <v>0.2</v>
      </c>
      <c r="I28" s="20" t="n">
        <f aca="false">G28/C28-1</f>
        <v>-0.366447034972124</v>
      </c>
      <c r="J28" s="21" t="n">
        <v>450</v>
      </c>
      <c r="K28" s="19" t="n">
        <v>0.55</v>
      </c>
      <c r="L28" s="22" t="n">
        <f aca="false">J28/C28-1</f>
        <v>0.425494171312722</v>
      </c>
      <c r="M28" s="23" t="n">
        <v>500</v>
      </c>
      <c r="N28" s="19" t="n">
        <v>0.25</v>
      </c>
      <c r="O28" s="24" t="n">
        <f aca="false">M28/C28-1</f>
        <v>0.583882412569691</v>
      </c>
      <c r="P28" s="25" t="n">
        <f aca="false">G28*H28+J28*K28+M28*N28</f>
        <v>412.5</v>
      </c>
      <c r="Q28" s="17" t="n">
        <f aca="false">P28/C28-1</f>
        <v>0.306702990369995</v>
      </c>
      <c r="R28" s="26" t="s">
        <v>30</v>
      </c>
    </row>
    <row r="29" customFormat="false" ht="19.5" hidden="false" customHeight="true" outlineLevel="0" collapsed="false">
      <c r="A29" s="12" t="s">
        <v>62</v>
      </c>
      <c r="B29" s="27" t="s">
        <v>57</v>
      </c>
      <c r="C29" s="47" t="n">
        <v>206</v>
      </c>
      <c r="D29" s="29" t="n">
        <v>270</v>
      </c>
      <c r="E29" s="30" t="s">
        <v>32</v>
      </c>
      <c r="F29" s="48" t="n">
        <f aca="false">(D29-C29)/C29</f>
        <v>0.310679611650485</v>
      </c>
      <c r="G29" s="49" t="n">
        <v>130</v>
      </c>
      <c r="H29" s="33" t="n">
        <v>0.25</v>
      </c>
      <c r="I29" s="48" t="n">
        <f aca="false">G29/C29-1</f>
        <v>-0.368932038834951</v>
      </c>
      <c r="J29" s="35" t="n">
        <v>270</v>
      </c>
      <c r="K29" s="33" t="n">
        <v>0.5</v>
      </c>
      <c r="L29" s="48" t="n">
        <f aca="false">J29/C29-1</f>
        <v>0.310679611650486</v>
      </c>
      <c r="M29" s="37" t="n">
        <v>290</v>
      </c>
      <c r="N29" s="33" t="n">
        <v>0.25</v>
      </c>
      <c r="O29" s="48" t="n">
        <f aca="false">M29/C29-1</f>
        <v>0.407766990291262</v>
      </c>
      <c r="P29" s="48" t="n">
        <f aca="false">G29*H29+J29*K29+M29*N29</f>
        <v>240</v>
      </c>
      <c r="Q29" s="48" t="n">
        <f aca="false">P29/C29-1</f>
        <v>0.16504854368932</v>
      </c>
      <c r="R29" s="46" t="s">
        <v>38</v>
      </c>
    </row>
    <row r="30" customFormat="false" ht="15.75" hidden="false" customHeight="true" outlineLevel="0" collapsed="false">
      <c r="A30" s="11" t="s">
        <v>63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customFormat="false" ht="19.5" hidden="false" customHeight="true" outlineLevel="0" collapsed="false">
      <c r="A31" s="12" t="s">
        <v>64</v>
      </c>
      <c r="B31" s="27" t="s">
        <v>65</v>
      </c>
      <c r="C31" s="28" t="n">
        <v>93.45</v>
      </c>
      <c r="D31" s="29" t="n">
        <v>140</v>
      </c>
      <c r="E31" s="30" t="s">
        <v>35</v>
      </c>
      <c r="F31" s="40" t="n">
        <f aca="false">(D31-C31)/C31</f>
        <v>0.49812734082397</v>
      </c>
      <c r="G31" s="32" t="n">
        <v>85</v>
      </c>
      <c r="H31" s="33" t="n">
        <v>0.2</v>
      </c>
      <c r="I31" s="34" t="n">
        <f aca="false">G31/C31-1</f>
        <v>-0.0904226859283039</v>
      </c>
      <c r="J31" s="35" t="n">
        <v>140</v>
      </c>
      <c r="K31" s="33" t="n">
        <v>0.55</v>
      </c>
      <c r="L31" s="36" t="n">
        <f aca="false">J31/C31-1</f>
        <v>0.49812734082397</v>
      </c>
      <c r="M31" s="37" t="n">
        <v>175</v>
      </c>
      <c r="N31" s="33" t="n">
        <v>0.25</v>
      </c>
      <c r="O31" s="38" t="n">
        <f aca="false">M31/C31-1</f>
        <v>0.872659176029963</v>
      </c>
      <c r="P31" s="39" t="n">
        <f aca="false">G31*H31+J31*K31+M31*N31</f>
        <v>137.75</v>
      </c>
      <c r="Q31" s="40" t="n">
        <f aca="false">P31/C31-1</f>
        <v>0.474050294275013</v>
      </c>
      <c r="R31" s="42" t="s">
        <v>30</v>
      </c>
    </row>
    <row r="32" customFormat="false" ht="19.5" hidden="false" customHeight="true" outlineLevel="0" collapsed="false">
      <c r="A32" s="12" t="s">
        <v>66</v>
      </c>
      <c r="B32" s="13" t="s">
        <v>65</v>
      </c>
      <c r="C32" s="14" t="n">
        <v>49.68</v>
      </c>
      <c r="D32" s="15" t="n">
        <v>80</v>
      </c>
      <c r="E32" s="16" t="s">
        <v>29</v>
      </c>
      <c r="F32" s="17" t="n">
        <f aca="false">(D32-C32)/C32</f>
        <v>0.610305958132045</v>
      </c>
      <c r="G32" s="18" t="n">
        <v>35</v>
      </c>
      <c r="H32" s="19" t="n">
        <v>0.25</v>
      </c>
      <c r="I32" s="20" t="n">
        <f aca="false">G32/C32-1</f>
        <v>-0.29549114331723</v>
      </c>
      <c r="J32" s="21" t="n">
        <v>80</v>
      </c>
      <c r="K32" s="19" t="n">
        <v>0.5</v>
      </c>
      <c r="L32" s="22" t="n">
        <f aca="false">J32/C32-1</f>
        <v>0.610305958132045</v>
      </c>
      <c r="M32" s="23" t="n">
        <v>120</v>
      </c>
      <c r="N32" s="19" t="n">
        <v>0.25</v>
      </c>
      <c r="O32" s="24" t="n">
        <f aca="false">M32/C32-1</f>
        <v>1.41545893719807</v>
      </c>
      <c r="P32" s="25" t="n">
        <f aca="false">G32*H32+J32*K32+M32*N32</f>
        <v>78.75</v>
      </c>
      <c r="Q32" s="17" t="n">
        <f aca="false">P32/C32-1</f>
        <v>0.585144927536232</v>
      </c>
      <c r="R32" s="45" t="s">
        <v>33</v>
      </c>
    </row>
    <row r="33" customFormat="false" ht="19.5" hidden="false" customHeight="true" outlineLevel="0" collapsed="false">
      <c r="A33" s="12" t="s">
        <v>67</v>
      </c>
      <c r="B33" s="27" t="s">
        <v>65</v>
      </c>
      <c r="C33" s="47" t="n">
        <v>12.675</v>
      </c>
      <c r="D33" s="29" t="n">
        <v>25</v>
      </c>
      <c r="E33" s="30" t="s">
        <v>29</v>
      </c>
      <c r="F33" s="48" t="s">
        <v>68</v>
      </c>
      <c r="G33" s="32" t="n">
        <v>4</v>
      </c>
      <c r="H33" s="33" t="n">
        <v>0.3</v>
      </c>
      <c r="I33" s="48" t="s">
        <v>68</v>
      </c>
      <c r="J33" s="35" t="n">
        <v>25</v>
      </c>
      <c r="K33" s="33" t="n">
        <v>0.45</v>
      </c>
      <c r="L33" s="48" t="s">
        <v>68</v>
      </c>
      <c r="M33" s="37" t="n">
        <v>35</v>
      </c>
      <c r="N33" s="33" t="n">
        <v>0.25</v>
      </c>
      <c r="O33" s="48" t="s">
        <v>68</v>
      </c>
      <c r="P33" s="48" t="s">
        <v>68</v>
      </c>
      <c r="Q33" s="48" t="s">
        <v>68</v>
      </c>
      <c r="R33" s="46" t="s">
        <v>38</v>
      </c>
    </row>
    <row r="34" customFormat="false" ht="15.75" hidden="false" customHeight="true" outlineLevel="0" collapsed="false">
      <c r="A34" s="11" t="s">
        <v>69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customFormat="false" ht="19.5" hidden="false" customHeight="true" outlineLevel="0" collapsed="false">
      <c r="A35" s="12" t="s">
        <v>70</v>
      </c>
      <c r="B35" s="27" t="s">
        <v>71</v>
      </c>
      <c r="C35" s="28" t="n">
        <v>30.81</v>
      </c>
      <c r="D35" s="29" t="n">
        <v>60</v>
      </c>
      <c r="E35" s="30" t="s">
        <v>29</v>
      </c>
      <c r="F35" s="40" t="n">
        <f aca="false">(D35-C35)/C35</f>
        <v>0.947419668938656</v>
      </c>
      <c r="G35" s="32" t="n">
        <v>20</v>
      </c>
      <c r="H35" s="33" t="n">
        <v>0.3</v>
      </c>
      <c r="I35" s="34" t="n">
        <f aca="false">G35/C35-1</f>
        <v>-0.350860110353781</v>
      </c>
      <c r="J35" s="35" t="n">
        <v>60</v>
      </c>
      <c r="K35" s="33" t="n">
        <v>0.45</v>
      </c>
      <c r="L35" s="36" t="n">
        <f aca="false">J35/C35-1</f>
        <v>0.947419668938656</v>
      </c>
      <c r="M35" s="37" t="n">
        <v>90</v>
      </c>
      <c r="N35" s="33" t="n">
        <v>0.25</v>
      </c>
      <c r="O35" s="38" t="n">
        <f aca="false">M35/C35-1</f>
        <v>1.92112950340798</v>
      </c>
      <c r="P35" s="39" t="n">
        <f aca="false">G35*H35+J35*K35+M35*N35</f>
        <v>55.5</v>
      </c>
      <c r="Q35" s="40" t="n">
        <f aca="false">P35/C35-1</f>
        <v>0.801363193768257</v>
      </c>
      <c r="R35" s="46" t="s">
        <v>38</v>
      </c>
    </row>
    <row r="36" customFormat="false" ht="19.5" hidden="false" customHeight="true" outlineLevel="0" collapsed="false">
      <c r="A36" s="12" t="s">
        <v>72</v>
      </c>
      <c r="B36" s="13" t="s">
        <v>71</v>
      </c>
      <c r="C36" s="14" t="n">
        <v>173.47</v>
      </c>
      <c r="D36" s="15" t="n">
        <v>205</v>
      </c>
      <c r="E36" s="16" t="s">
        <v>29</v>
      </c>
      <c r="F36" s="44" t="n">
        <f aca="false">(D36-C36)/C36</f>
        <v>0.181760534962818</v>
      </c>
      <c r="G36" s="18" t="n">
        <v>140</v>
      </c>
      <c r="H36" s="19" t="n">
        <v>0.2</v>
      </c>
      <c r="I36" s="20" t="n">
        <f aca="false">G36/C36-1</f>
        <v>-0.192944024903442</v>
      </c>
      <c r="J36" s="21" t="n">
        <v>205</v>
      </c>
      <c r="K36" s="19" t="n">
        <v>0.55</v>
      </c>
      <c r="L36" s="22" t="n">
        <f aca="false">J36/C36-1</f>
        <v>0.181760534962818</v>
      </c>
      <c r="M36" s="23" t="n">
        <v>225</v>
      </c>
      <c r="N36" s="19" t="n">
        <v>0.25</v>
      </c>
      <c r="O36" s="24" t="n">
        <f aca="false">M36/C36-1</f>
        <v>0.297054245690898</v>
      </c>
      <c r="P36" s="25" t="n">
        <f aca="false">G36*H36+J36*K36+M36*N36</f>
        <v>197</v>
      </c>
      <c r="Q36" s="17" t="n">
        <f aca="false">P36/C36-1</f>
        <v>0.135643050671586</v>
      </c>
      <c r="R36" s="43" t="s">
        <v>38</v>
      </c>
    </row>
    <row r="37" customFormat="false" ht="19.5" hidden="false" customHeight="true" outlineLevel="0" collapsed="false">
      <c r="A37" s="12" t="s">
        <v>73</v>
      </c>
      <c r="B37" s="27" t="s">
        <v>71</v>
      </c>
      <c r="C37" s="28" t="n">
        <v>115.08</v>
      </c>
      <c r="D37" s="29" t="n">
        <v>145</v>
      </c>
      <c r="E37" s="30" t="s">
        <v>29</v>
      </c>
      <c r="F37" s="31" t="n">
        <f aca="false">(D37-C37)/C37</f>
        <v>0.259993048314216</v>
      </c>
      <c r="G37" s="32" t="n">
        <v>100</v>
      </c>
      <c r="H37" s="33" t="n">
        <v>0.2</v>
      </c>
      <c r="I37" s="34" t="n">
        <f aca="false">G37/C37-1</f>
        <v>-0.131039277024678</v>
      </c>
      <c r="J37" s="35" t="n">
        <v>145</v>
      </c>
      <c r="K37" s="33" t="n">
        <v>0.55</v>
      </c>
      <c r="L37" s="36" t="n">
        <f aca="false">J37/C37-1</f>
        <v>0.259993048314216</v>
      </c>
      <c r="M37" s="37" t="n">
        <v>175</v>
      </c>
      <c r="N37" s="33" t="n">
        <v>0.25</v>
      </c>
      <c r="O37" s="38" t="n">
        <f aca="false">M37/C37-1</f>
        <v>0.520681265206813</v>
      </c>
      <c r="P37" s="39" t="n">
        <f aca="false">G37*H37+J37*K37+M37*N37</f>
        <v>143.5</v>
      </c>
      <c r="Q37" s="40" t="n">
        <f aca="false">P37/C37-1</f>
        <v>0.246958637469586</v>
      </c>
      <c r="R37" s="42" t="s">
        <v>30</v>
      </c>
    </row>
    <row r="38" customFormat="false" ht="19.5" hidden="false" customHeight="true" outlineLevel="0" collapsed="false">
      <c r="A38" s="12" t="s">
        <v>74</v>
      </c>
      <c r="B38" s="13" t="s">
        <v>71</v>
      </c>
      <c r="C38" s="14" t="n">
        <v>197.04</v>
      </c>
      <c r="D38" s="15" t="n">
        <v>310</v>
      </c>
      <c r="E38" s="16" t="s">
        <v>29</v>
      </c>
      <c r="F38" s="17" t="n">
        <f aca="false">(D38-C38)/C38</f>
        <v>0.57328461226147</v>
      </c>
      <c r="G38" s="18" t="n">
        <v>80</v>
      </c>
      <c r="H38" s="19" t="n">
        <v>0.25</v>
      </c>
      <c r="I38" s="20" t="n">
        <f aca="false">G38/C38-1</f>
        <v>-0.593991067803492</v>
      </c>
      <c r="J38" s="21" t="n">
        <v>310</v>
      </c>
      <c r="K38" s="19" t="n">
        <v>0.5</v>
      </c>
      <c r="L38" s="22" t="n">
        <f aca="false">J38/C38-1</f>
        <v>0.57328461226147</v>
      </c>
      <c r="M38" s="23" t="n">
        <v>400</v>
      </c>
      <c r="N38" s="19" t="n">
        <v>0.25</v>
      </c>
      <c r="O38" s="24" t="n">
        <f aca="false">M38/C38-1</f>
        <v>1.03004466098254</v>
      </c>
      <c r="P38" s="25" t="n">
        <f aca="false">G38*H38+J38*K38+M38*N38</f>
        <v>275</v>
      </c>
      <c r="Q38" s="17" t="n">
        <f aca="false">P38/C38-1</f>
        <v>0.395655704425497</v>
      </c>
      <c r="R38" s="26" t="s">
        <v>30</v>
      </c>
    </row>
    <row r="39" customFormat="false" ht="19.5" hidden="false" customHeight="true" outlineLevel="0" collapsed="false">
      <c r="A39" s="12" t="s">
        <v>75</v>
      </c>
      <c r="B39" s="27" t="s">
        <v>71</v>
      </c>
      <c r="C39" s="28" t="n">
        <v>118.21</v>
      </c>
      <c r="D39" s="29" t="n">
        <v>135</v>
      </c>
      <c r="E39" s="30" t="s">
        <v>32</v>
      </c>
      <c r="F39" s="40" t="n">
        <f aca="false">(D39-C39)/C39</f>
        <v>0.142035360798579</v>
      </c>
      <c r="G39" s="32" t="n">
        <v>85</v>
      </c>
      <c r="H39" s="33" t="n">
        <v>0.25</v>
      </c>
      <c r="I39" s="34" t="n">
        <f aca="false">G39/C39-1</f>
        <v>-0.28094069875645</v>
      </c>
      <c r="J39" s="35" t="n">
        <v>135</v>
      </c>
      <c r="K39" s="33" t="n">
        <v>0.5</v>
      </c>
      <c r="L39" s="36" t="n">
        <f aca="false">J39/C39-1</f>
        <v>0.142035360798579</v>
      </c>
      <c r="M39" s="37" t="n">
        <v>160</v>
      </c>
      <c r="N39" s="33" t="n">
        <v>0.25</v>
      </c>
      <c r="O39" s="38" t="n">
        <f aca="false">M39/C39-1</f>
        <v>0.353523390576094</v>
      </c>
      <c r="P39" s="39" t="n">
        <f aca="false">G39*H39+J39*K39+M39*N39</f>
        <v>128.75</v>
      </c>
      <c r="Q39" s="40" t="n">
        <f aca="false">P39/C39-1</f>
        <v>0.0891633533542002</v>
      </c>
      <c r="R39" s="46" t="s">
        <v>38</v>
      </c>
    </row>
    <row r="40" customFormat="false" ht="15.75" hidden="false" customHeight="true" outlineLevel="0" collapsed="false">
      <c r="A40" s="11" t="s">
        <v>76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customFormat="false" ht="19.5" hidden="false" customHeight="true" outlineLevel="0" collapsed="false">
      <c r="A41" s="12" t="s">
        <v>77</v>
      </c>
      <c r="B41" s="27" t="s">
        <v>78</v>
      </c>
      <c r="C41" s="28" t="n">
        <v>88.66</v>
      </c>
      <c r="D41" s="29" t="n">
        <v>100</v>
      </c>
      <c r="E41" s="30" t="s">
        <v>32</v>
      </c>
      <c r="F41" s="40" t="n">
        <f aca="false">(D41-C41)/C41</f>
        <v>0.127904353710805</v>
      </c>
      <c r="G41" s="32" t="n">
        <v>65</v>
      </c>
      <c r="H41" s="33" t="n">
        <v>0.25</v>
      </c>
      <c r="I41" s="34" t="n">
        <f aca="false">G41/C41-1</f>
        <v>-0.266862170087977</v>
      </c>
      <c r="J41" s="35" t="n">
        <v>100</v>
      </c>
      <c r="K41" s="33" t="n">
        <v>0.5</v>
      </c>
      <c r="L41" s="36" t="n">
        <f aca="false">J41/C41-1</f>
        <v>0.127904353710805</v>
      </c>
      <c r="M41" s="37" t="n">
        <v>120</v>
      </c>
      <c r="N41" s="33" t="n">
        <v>0.25</v>
      </c>
      <c r="O41" s="38" t="n">
        <f aca="false">M41/C41-1</f>
        <v>0.353485224452967</v>
      </c>
      <c r="P41" s="39" t="n">
        <f aca="false">G41*H41+J41*K41+M41*N41</f>
        <v>96.25</v>
      </c>
      <c r="Q41" s="40" t="n">
        <f aca="false">P41/C41-1</f>
        <v>0.0856079404466501</v>
      </c>
      <c r="R41" s="41" t="s">
        <v>33</v>
      </c>
    </row>
    <row r="43" customFormat="false" ht="15" hidden="false" customHeight="true" outlineLevel="0" collapsed="false">
      <c r="A43" s="50" t="s">
        <v>79</v>
      </c>
      <c r="B43" s="50"/>
      <c r="C43" s="50"/>
      <c r="D43" s="50"/>
      <c r="E43" s="50"/>
      <c r="F43" s="50"/>
    </row>
    <row r="44" customFormat="false" ht="15" hidden="false" customHeight="true" outlineLevel="0" collapsed="false">
      <c r="A44" s="51" t="s">
        <v>80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</sheetData>
  <mergeCells count="17">
    <mergeCell ref="A1:R1"/>
    <mergeCell ref="A2:R2"/>
    <mergeCell ref="A3:B3"/>
    <mergeCell ref="C3:F3"/>
    <mergeCell ref="G3:I3"/>
    <mergeCell ref="J3:L3"/>
    <mergeCell ref="M3:O3"/>
    <mergeCell ref="P3:R3"/>
    <mergeCell ref="A5:R5"/>
    <mergeCell ref="A14:R14"/>
    <mergeCell ref="A18:R18"/>
    <mergeCell ref="A25:R25"/>
    <mergeCell ref="A30:R30"/>
    <mergeCell ref="A34:R34"/>
    <mergeCell ref="A40:R40"/>
    <mergeCell ref="A43:F43"/>
    <mergeCell ref="A44:R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45"/>
    <col collapsed="false" customWidth="true" hidden="false" outlineLevel="0" max="5" min="5" style="1" width="12"/>
  </cols>
  <sheetData>
    <row r="1" customFormat="false" ht="30" hidden="false" customHeight="true" outlineLevel="0" collapsed="false">
      <c r="A1" s="52" t="s">
        <v>81</v>
      </c>
      <c r="B1" s="52"/>
      <c r="C1" s="52"/>
      <c r="D1" s="52"/>
      <c r="E1" s="52"/>
    </row>
    <row r="2" customFormat="false" ht="15" hidden="false" customHeight="true" outlineLevel="0" collapsed="false">
      <c r="A2" s="53" t="s">
        <v>82</v>
      </c>
      <c r="B2" s="53"/>
      <c r="C2" s="53"/>
      <c r="D2" s="53"/>
      <c r="E2" s="53"/>
    </row>
    <row r="3" customFormat="false" ht="21.75" hidden="false" customHeight="true" outlineLevel="0" collapsed="false">
      <c r="A3" s="54" t="s">
        <v>8</v>
      </c>
      <c r="B3" s="54" t="s">
        <v>83</v>
      </c>
      <c r="C3" s="54" t="s">
        <v>84</v>
      </c>
      <c r="D3" s="54" t="s">
        <v>85</v>
      </c>
      <c r="E3" s="54" t="s">
        <v>25</v>
      </c>
    </row>
    <row r="4" customFormat="false" ht="48" hidden="false" customHeight="true" outlineLevel="0" collapsed="false">
      <c r="A4" s="12" t="s">
        <v>27</v>
      </c>
      <c r="B4" s="55" t="s">
        <v>86</v>
      </c>
      <c r="C4" s="56" t="s">
        <v>87</v>
      </c>
      <c r="D4" s="57" t="s">
        <v>88</v>
      </c>
      <c r="E4" s="26" t="s">
        <v>30</v>
      </c>
    </row>
    <row r="5" customFormat="false" ht="48" hidden="false" customHeight="true" outlineLevel="0" collapsed="false">
      <c r="A5" s="12" t="s">
        <v>31</v>
      </c>
      <c r="B5" s="55" t="s">
        <v>89</v>
      </c>
      <c r="C5" s="56" t="s">
        <v>90</v>
      </c>
      <c r="D5" s="57" t="s">
        <v>91</v>
      </c>
      <c r="E5" s="41" t="s">
        <v>33</v>
      </c>
    </row>
    <row r="6" customFormat="false" ht="48" hidden="false" customHeight="true" outlineLevel="0" collapsed="false">
      <c r="A6" s="12" t="s">
        <v>34</v>
      </c>
      <c r="B6" s="55" t="s">
        <v>92</v>
      </c>
      <c r="C6" s="56" t="s">
        <v>93</v>
      </c>
      <c r="D6" s="57" t="s">
        <v>94</v>
      </c>
      <c r="E6" s="26" t="s">
        <v>30</v>
      </c>
    </row>
    <row r="7" customFormat="false" ht="48" hidden="false" customHeight="true" outlineLevel="0" collapsed="false">
      <c r="A7" s="12" t="s">
        <v>36</v>
      </c>
      <c r="B7" s="55" t="s">
        <v>95</v>
      </c>
      <c r="C7" s="56" t="s">
        <v>96</v>
      </c>
      <c r="D7" s="57" t="s">
        <v>97</v>
      </c>
      <c r="E7" s="42" t="s">
        <v>30</v>
      </c>
    </row>
    <row r="8" customFormat="false" ht="48" hidden="false" customHeight="true" outlineLevel="0" collapsed="false">
      <c r="A8" s="12" t="s">
        <v>37</v>
      </c>
      <c r="B8" s="55" t="s">
        <v>98</v>
      </c>
      <c r="C8" s="56" t="s">
        <v>99</v>
      </c>
      <c r="D8" s="57" t="s">
        <v>100</v>
      </c>
      <c r="E8" s="43" t="s">
        <v>38</v>
      </c>
    </row>
    <row r="9" customFormat="false" ht="48" hidden="false" customHeight="true" outlineLevel="0" collapsed="false">
      <c r="A9" s="12" t="s">
        <v>39</v>
      </c>
      <c r="B9" s="55" t="s">
        <v>101</v>
      </c>
      <c r="C9" s="56" t="s">
        <v>102</v>
      </c>
      <c r="D9" s="57" t="s">
        <v>103</v>
      </c>
      <c r="E9" s="41" t="s">
        <v>33</v>
      </c>
    </row>
    <row r="10" customFormat="false" ht="48" hidden="false" customHeight="true" outlineLevel="0" collapsed="false">
      <c r="A10" s="12" t="s">
        <v>40</v>
      </c>
      <c r="B10" s="55" t="s">
        <v>104</v>
      </c>
      <c r="C10" s="56" t="s">
        <v>105</v>
      </c>
      <c r="D10" s="57" t="s">
        <v>106</v>
      </c>
      <c r="E10" s="26" t="s">
        <v>30</v>
      </c>
    </row>
    <row r="11" customFormat="false" ht="48" hidden="false" customHeight="true" outlineLevel="0" collapsed="false">
      <c r="A11" s="12" t="s">
        <v>41</v>
      </c>
      <c r="B11" s="55" t="s">
        <v>107</v>
      </c>
      <c r="C11" s="56" t="s">
        <v>108</v>
      </c>
      <c r="D11" s="57" t="s">
        <v>109</v>
      </c>
      <c r="E11" s="42" t="s">
        <v>30</v>
      </c>
    </row>
    <row r="12" customFormat="false" ht="48" hidden="false" customHeight="true" outlineLevel="0" collapsed="false">
      <c r="A12" s="12" t="s">
        <v>43</v>
      </c>
      <c r="B12" s="55" t="s">
        <v>110</v>
      </c>
      <c r="C12" s="56" t="s">
        <v>111</v>
      </c>
      <c r="D12" s="57" t="s">
        <v>112</v>
      </c>
      <c r="E12" s="45" t="s">
        <v>33</v>
      </c>
    </row>
    <row r="13" customFormat="false" ht="48" hidden="false" customHeight="true" outlineLevel="0" collapsed="false">
      <c r="A13" s="12" t="s">
        <v>45</v>
      </c>
      <c r="B13" s="55" t="s">
        <v>113</v>
      </c>
      <c r="C13" s="56" t="s">
        <v>114</v>
      </c>
      <c r="D13" s="57" t="s">
        <v>115</v>
      </c>
      <c r="E13" s="46" t="s">
        <v>38</v>
      </c>
    </row>
    <row r="14" customFormat="false" ht="48" hidden="false" customHeight="true" outlineLevel="0" collapsed="false">
      <c r="A14" s="12" t="s">
        <v>46</v>
      </c>
      <c r="B14" s="55" t="s">
        <v>116</v>
      </c>
      <c r="C14" s="56" t="s">
        <v>117</v>
      </c>
      <c r="D14" s="57" t="s">
        <v>118</v>
      </c>
      <c r="E14" s="26" t="s">
        <v>30</v>
      </c>
    </row>
    <row r="15" customFormat="false" ht="48" hidden="false" customHeight="true" outlineLevel="0" collapsed="false">
      <c r="A15" s="12" t="s">
        <v>48</v>
      </c>
      <c r="B15" s="55" t="s">
        <v>119</v>
      </c>
      <c r="C15" s="56" t="s">
        <v>120</v>
      </c>
      <c r="D15" s="57" t="s">
        <v>121</v>
      </c>
      <c r="E15" s="42" t="s">
        <v>30</v>
      </c>
    </row>
    <row r="16" customFormat="false" ht="48" hidden="false" customHeight="true" outlineLevel="0" collapsed="false">
      <c r="A16" s="12" t="s">
        <v>50</v>
      </c>
      <c r="B16" s="55" t="s">
        <v>122</v>
      </c>
      <c r="C16" s="56" t="s">
        <v>123</v>
      </c>
      <c r="D16" s="57" t="s">
        <v>124</v>
      </c>
      <c r="E16" s="26" t="s">
        <v>30</v>
      </c>
    </row>
    <row r="17" customFormat="false" ht="48" hidden="false" customHeight="true" outlineLevel="0" collapsed="false">
      <c r="A17" s="12" t="s">
        <v>51</v>
      </c>
      <c r="B17" s="55" t="s">
        <v>125</v>
      </c>
      <c r="C17" s="56" t="s">
        <v>126</v>
      </c>
      <c r="D17" s="57" t="s">
        <v>127</v>
      </c>
      <c r="E17" s="41" t="s">
        <v>33</v>
      </c>
    </row>
    <row r="18" customFormat="false" ht="48" hidden="false" customHeight="true" outlineLevel="0" collapsed="false">
      <c r="A18" s="12" t="s">
        <v>52</v>
      </c>
      <c r="B18" s="55" t="s">
        <v>128</v>
      </c>
      <c r="C18" s="56" t="s">
        <v>129</v>
      </c>
      <c r="D18" s="57" t="s">
        <v>130</v>
      </c>
      <c r="E18" s="45" t="s">
        <v>33</v>
      </c>
    </row>
    <row r="19" customFormat="false" ht="48" hidden="false" customHeight="true" outlineLevel="0" collapsed="false">
      <c r="A19" s="12" t="s">
        <v>53</v>
      </c>
      <c r="B19" s="55" t="s">
        <v>131</v>
      </c>
      <c r="C19" s="56" t="s">
        <v>132</v>
      </c>
      <c r="D19" s="57" t="s">
        <v>133</v>
      </c>
      <c r="E19" s="41" t="s">
        <v>33</v>
      </c>
    </row>
    <row r="20" customFormat="false" ht="48" hidden="false" customHeight="true" outlineLevel="0" collapsed="false">
      <c r="A20" s="12" t="s">
        <v>54</v>
      </c>
      <c r="B20" s="55" t="s">
        <v>134</v>
      </c>
      <c r="C20" s="56" t="s">
        <v>135</v>
      </c>
      <c r="D20" s="57" t="s">
        <v>136</v>
      </c>
      <c r="E20" s="26" t="s">
        <v>30</v>
      </c>
    </row>
    <row r="21" customFormat="false" ht="48" hidden="false" customHeight="true" outlineLevel="0" collapsed="false">
      <c r="A21" s="12" t="s">
        <v>56</v>
      </c>
      <c r="B21" s="55" t="s">
        <v>137</v>
      </c>
      <c r="C21" s="56" t="s">
        <v>138</v>
      </c>
      <c r="D21" s="57" t="s">
        <v>139</v>
      </c>
      <c r="E21" s="41" t="s">
        <v>33</v>
      </c>
    </row>
    <row r="22" customFormat="false" ht="48" hidden="false" customHeight="true" outlineLevel="0" collapsed="false">
      <c r="A22" s="12" t="s">
        <v>140</v>
      </c>
      <c r="B22" s="55" t="s">
        <v>141</v>
      </c>
      <c r="C22" s="56" t="s">
        <v>142</v>
      </c>
      <c r="D22" s="57" t="s">
        <v>143</v>
      </c>
      <c r="E22" s="43" t="s">
        <v>38</v>
      </c>
    </row>
    <row r="23" customFormat="false" ht="48" hidden="false" customHeight="true" outlineLevel="0" collapsed="false">
      <c r="A23" s="12" t="s">
        <v>61</v>
      </c>
      <c r="B23" s="55" t="s">
        <v>144</v>
      </c>
      <c r="C23" s="56" t="s">
        <v>145</v>
      </c>
      <c r="D23" s="57" t="s">
        <v>146</v>
      </c>
      <c r="E23" s="42" t="s">
        <v>30</v>
      </c>
    </row>
    <row r="24" customFormat="false" ht="48" hidden="false" customHeight="true" outlineLevel="0" collapsed="false">
      <c r="A24" s="12" t="s">
        <v>62</v>
      </c>
      <c r="B24" s="55" t="s">
        <v>147</v>
      </c>
      <c r="C24" s="56" t="s">
        <v>148</v>
      </c>
      <c r="D24" s="57" t="s">
        <v>149</v>
      </c>
      <c r="E24" s="43" t="s">
        <v>38</v>
      </c>
    </row>
    <row r="25" customFormat="false" ht="48" hidden="false" customHeight="true" outlineLevel="0" collapsed="false">
      <c r="A25" s="12" t="s">
        <v>64</v>
      </c>
      <c r="B25" s="55" t="s">
        <v>150</v>
      </c>
      <c r="C25" s="56" t="s">
        <v>151</v>
      </c>
      <c r="D25" s="57" t="s">
        <v>152</v>
      </c>
      <c r="E25" s="42" t="s">
        <v>30</v>
      </c>
    </row>
    <row r="26" customFormat="false" ht="48" hidden="false" customHeight="true" outlineLevel="0" collapsed="false">
      <c r="A26" s="12" t="s">
        <v>66</v>
      </c>
      <c r="B26" s="55" t="s">
        <v>153</v>
      </c>
      <c r="C26" s="56" t="s">
        <v>154</v>
      </c>
      <c r="D26" s="57" t="s">
        <v>155</v>
      </c>
      <c r="E26" s="45" t="s">
        <v>33</v>
      </c>
    </row>
    <row r="27" customFormat="false" ht="48" hidden="false" customHeight="true" outlineLevel="0" collapsed="false">
      <c r="A27" s="12" t="s">
        <v>67</v>
      </c>
      <c r="B27" s="55" t="s">
        <v>156</v>
      </c>
      <c r="C27" s="56" t="s">
        <v>157</v>
      </c>
      <c r="D27" s="57" t="s">
        <v>158</v>
      </c>
      <c r="E27" s="46" t="s">
        <v>38</v>
      </c>
    </row>
    <row r="28" customFormat="false" ht="48" hidden="false" customHeight="true" outlineLevel="0" collapsed="false">
      <c r="A28" s="12" t="s">
        <v>70</v>
      </c>
      <c r="B28" s="55" t="s">
        <v>159</v>
      </c>
      <c r="C28" s="56" t="s">
        <v>160</v>
      </c>
      <c r="D28" s="57" t="s">
        <v>161</v>
      </c>
      <c r="E28" s="43" t="s">
        <v>38</v>
      </c>
    </row>
    <row r="29" customFormat="false" ht="48" hidden="false" customHeight="true" outlineLevel="0" collapsed="false">
      <c r="A29" s="12" t="s">
        <v>72</v>
      </c>
      <c r="B29" s="55" t="s">
        <v>162</v>
      </c>
      <c r="C29" s="56" t="s">
        <v>163</v>
      </c>
      <c r="D29" s="57" t="s">
        <v>164</v>
      </c>
      <c r="E29" s="46" t="s">
        <v>38</v>
      </c>
    </row>
    <row r="30" customFormat="false" ht="48" hidden="false" customHeight="true" outlineLevel="0" collapsed="false">
      <c r="A30" s="12" t="s">
        <v>73</v>
      </c>
      <c r="B30" s="55" t="s">
        <v>165</v>
      </c>
      <c r="C30" s="56" t="s">
        <v>166</v>
      </c>
      <c r="D30" s="57" t="s">
        <v>167</v>
      </c>
      <c r="E30" s="26" t="s">
        <v>30</v>
      </c>
    </row>
    <row r="31" customFormat="false" ht="48" hidden="false" customHeight="true" outlineLevel="0" collapsed="false">
      <c r="A31" s="12" t="s">
        <v>74</v>
      </c>
      <c r="B31" s="55" t="s">
        <v>168</v>
      </c>
      <c r="C31" s="56" t="s">
        <v>169</v>
      </c>
      <c r="D31" s="57" t="s">
        <v>170</v>
      </c>
      <c r="E31" s="42" t="s">
        <v>30</v>
      </c>
    </row>
    <row r="32" customFormat="false" ht="48" hidden="false" customHeight="true" outlineLevel="0" collapsed="false">
      <c r="A32" s="12" t="s">
        <v>75</v>
      </c>
      <c r="B32" s="55" t="s">
        <v>171</v>
      </c>
      <c r="C32" s="56" t="s">
        <v>172</v>
      </c>
      <c r="D32" s="57" t="s">
        <v>173</v>
      </c>
      <c r="E32" s="43" t="s">
        <v>38</v>
      </c>
    </row>
    <row r="33" customFormat="false" ht="48" hidden="false" customHeight="true" outlineLevel="0" collapsed="false">
      <c r="A33" s="12" t="s">
        <v>174</v>
      </c>
      <c r="B33" s="55" t="s">
        <v>175</v>
      </c>
      <c r="C33" s="56" t="s">
        <v>176</v>
      </c>
      <c r="D33" s="57" t="s">
        <v>177</v>
      </c>
      <c r="E33" s="41" t="s">
        <v>33</v>
      </c>
    </row>
    <row r="34" customFormat="false" ht="15" hidden="false" customHeight="false" outlineLevel="0" collapsed="false">
      <c r="A34" s="1" t="s">
        <v>58</v>
      </c>
      <c r="B34" s="1" t="s">
        <v>178</v>
      </c>
      <c r="C34" s="1" t="s">
        <v>179</v>
      </c>
      <c r="D34" s="1" t="s">
        <v>180</v>
      </c>
      <c r="E34" s="1" t="s">
        <v>30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50"/>
  </cols>
  <sheetData>
    <row r="1" customFormat="false" ht="27.75" hidden="false" customHeight="true" outlineLevel="0" collapsed="false">
      <c r="A1" s="52" t="s">
        <v>181</v>
      </c>
      <c r="B1" s="52"/>
      <c r="C1" s="52"/>
    </row>
    <row r="2" customFormat="false" ht="18" hidden="false" customHeight="true" outlineLevel="0" collapsed="false">
      <c r="A2" s="58" t="s">
        <v>182</v>
      </c>
      <c r="B2" s="58" t="s">
        <v>183</v>
      </c>
      <c r="C2" s="58" t="s">
        <v>184</v>
      </c>
    </row>
    <row r="3" customFormat="false" ht="18" hidden="false" customHeight="true" outlineLevel="0" collapsed="false">
      <c r="A3" s="59" t="s">
        <v>28</v>
      </c>
      <c r="B3" s="59" t="s">
        <v>185</v>
      </c>
      <c r="C3" s="59" t="s">
        <v>186</v>
      </c>
    </row>
    <row r="4" customFormat="false" ht="18" hidden="false" customHeight="true" outlineLevel="0" collapsed="false">
      <c r="A4" s="60" t="s">
        <v>44</v>
      </c>
      <c r="B4" s="60" t="s">
        <v>185</v>
      </c>
      <c r="C4" s="60" t="s">
        <v>187</v>
      </c>
    </row>
    <row r="5" customFormat="false" ht="18" hidden="false" customHeight="true" outlineLevel="0" collapsed="false">
      <c r="A5" s="59" t="s">
        <v>188</v>
      </c>
      <c r="B5" s="59" t="s">
        <v>189</v>
      </c>
      <c r="C5" s="59" t="s">
        <v>190</v>
      </c>
    </row>
    <row r="6" customFormat="false" ht="18" hidden="false" customHeight="true" outlineLevel="0" collapsed="false">
      <c r="A6" s="60" t="s">
        <v>191</v>
      </c>
      <c r="B6" s="60" t="s">
        <v>192</v>
      </c>
      <c r="C6" s="60" t="s">
        <v>193</v>
      </c>
    </row>
    <row r="7" customFormat="false" ht="18" hidden="false" customHeight="true" outlineLevel="0" collapsed="false">
      <c r="A7" s="59" t="s">
        <v>57</v>
      </c>
      <c r="B7" s="59" t="s">
        <v>192</v>
      </c>
      <c r="C7" s="59" t="s">
        <v>194</v>
      </c>
    </row>
    <row r="8" customFormat="false" ht="18" hidden="false" customHeight="true" outlineLevel="0" collapsed="false">
      <c r="A8" s="60" t="s">
        <v>65</v>
      </c>
      <c r="B8" s="60" t="s">
        <v>185</v>
      </c>
      <c r="C8" s="60" t="s">
        <v>195</v>
      </c>
    </row>
    <row r="9" customFormat="false" ht="18" hidden="false" customHeight="true" outlineLevel="0" collapsed="false">
      <c r="A9" s="59" t="s">
        <v>196</v>
      </c>
      <c r="B9" s="59" t="s">
        <v>189</v>
      </c>
      <c r="C9" s="59" t="s">
        <v>197</v>
      </c>
    </row>
    <row r="10" customFormat="false" ht="18" hidden="false" customHeight="true" outlineLevel="0" collapsed="false">
      <c r="A10" s="60" t="s">
        <v>198</v>
      </c>
      <c r="B10" s="60" t="s">
        <v>189</v>
      </c>
      <c r="C10" s="60" t="s">
        <v>199</v>
      </c>
    </row>
    <row r="11" customFormat="false" ht="18" hidden="false" customHeight="true" outlineLevel="0" collapsed="false">
      <c r="A11" s="59" t="s">
        <v>78</v>
      </c>
      <c r="B11" s="59" t="s">
        <v>192</v>
      </c>
      <c r="C11" s="59" t="s">
        <v>200</v>
      </c>
    </row>
    <row r="12" customFormat="false" ht="18" hidden="false" customHeight="true" outlineLevel="0" collapsed="false">
      <c r="A12" s="60"/>
      <c r="B12" s="60"/>
      <c r="C12" s="60"/>
    </row>
    <row r="13" customFormat="false" ht="18" hidden="false" customHeight="true" outlineLevel="0" collapsed="false">
      <c r="A13" s="58" t="s">
        <v>201</v>
      </c>
      <c r="B13" s="58" t="s">
        <v>202</v>
      </c>
      <c r="C13" s="58"/>
    </row>
    <row r="14" customFormat="false" ht="18" hidden="false" customHeight="true" outlineLevel="0" collapsed="false">
      <c r="A14" s="60" t="s">
        <v>203</v>
      </c>
      <c r="B14" s="60" t="s">
        <v>204</v>
      </c>
      <c r="C14" s="60" t="s">
        <v>205</v>
      </c>
    </row>
    <row r="15" customFormat="false" ht="18" hidden="false" customHeight="true" outlineLevel="0" collapsed="false">
      <c r="A15" s="59" t="s">
        <v>206</v>
      </c>
      <c r="B15" s="59" t="s">
        <v>204</v>
      </c>
      <c r="C15" s="59" t="s">
        <v>207</v>
      </c>
    </row>
    <row r="16" customFormat="false" ht="18" hidden="false" customHeight="true" outlineLevel="0" collapsed="false">
      <c r="A16" s="60" t="s">
        <v>208</v>
      </c>
      <c r="B16" s="60" t="s">
        <v>209</v>
      </c>
      <c r="C16" s="60" t="s">
        <v>210</v>
      </c>
    </row>
    <row r="17" customFormat="false" ht="18" hidden="false" customHeight="true" outlineLevel="0" collapsed="false">
      <c r="A17" s="59" t="s">
        <v>211</v>
      </c>
      <c r="B17" s="59" t="s">
        <v>212</v>
      </c>
      <c r="C17" s="59" t="s">
        <v>213</v>
      </c>
    </row>
    <row r="18" customFormat="false" ht="18" hidden="false" customHeight="true" outlineLevel="0" collapsed="false">
      <c r="A18" s="60"/>
      <c r="B18" s="60"/>
      <c r="C18" s="60"/>
    </row>
    <row r="19" customFormat="false" ht="18" hidden="false" customHeight="true" outlineLevel="0" collapsed="false">
      <c r="A19" s="58" t="s">
        <v>214</v>
      </c>
      <c r="B19" s="58" t="s">
        <v>215</v>
      </c>
      <c r="C19" s="58" t="s">
        <v>216</v>
      </c>
    </row>
    <row r="20" customFormat="false" ht="18" hidden="false" customHeight="true" outlineLevel="0" collapsed="false">
      <c r="A20" s="60" t="s">
        <v>217</v>
      </c>
      <c r="B20" s="60" t="s">
        <v>218</v>
      </c>
      <c r="C20" s="60" t="s">
        <v>219</v>
      </c>
    </row>
    <row r="21" customFormat="false" ht="18" hidden="false" customHeight="true" outlineLevel="0" collapsed="false">
      <c r="A21" s="59" t="s">
        <v>220</v>
      </c>
      <c r="B21" s="59" t="s">
        <v>221</v>
      </c>
      <c r="C21" s="59" t="s">
        <v>222</v>
      </c>
    </row>
    <row r="22" customFormat="false" ht="18" hidden="false" customHeight="true" outlineLevel="0" collapsed="false">
      <c r="A22" s="60" t="s">
        <v>223</v>
      </c>
      <c r="B22" s="60" t="s">
        <v>224</v>
      </c>
      <c r="C22" s="60" t="s">
        <v>225</v>
      </c>
    </row>
    <row r="23" customFormat="false" ht="18" hidden="false" customHeight="true" outlineLevel="0" collapsed="false">
      <c r="A23" s="59" t="s">
        <v>226</v>
      </c>
      <c r="B23" s="59" t="s">
        <v>227</v>
      </c>
      <c r="C23" s="59" t="s">
        <v>228</v>
      </c>
    </row>
    <row r="24" customFormat="false" ht="18" hidden="false" customHeight="true" outlineLevel="0" collapsed="false">
      <c r="A24" s="60" t="s">
        <v>229</v>
      </c>
      <c r="B24" s="60" t="s">
        <v>230</v>
      </c>
      <c r="C24" s="60" t="s">
        <v>231</v>
      </c>
    </row>
    <row r="25" customFormat="false" ht="18" hidden="false" customHeight="true" outlineLevel="0" collapsed="false">
      <c r="A25" s="59" t="s">
        <v>232</v>
      </c>
      <c r="B25" s="59" t="s">
        <v>233</v>
      </c>
      <c r="C25" s="59" t="s">
        <v>234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2026-06-04T20:28:47Z</dcterms:created>
  <dc:creator>openpyxl</dc:creator>
  <dc:description/>
  <dc:language>en-US</dc:language>
  <cp:lastModifiedBy/>
  <dcterms:modified xsi:type="dcterms:W3CDTF">2026-07-07T15:05:24Z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