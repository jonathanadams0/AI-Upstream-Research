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DCF Model" sheetId="3" state="visible" r:id="rId5"/>
    <sheet name="Sensitivity" sheetId="4" state="visible" r:id="rId6"/>
    <sheet name="v7 Change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<sst xmlns="http://schemas.openxmlformats.org/spreadsheetml/2006/main" count="155" uniqueCount="134">
  <si>
    <t xml:space="preserve">GE Vernova (NYSE: GEV) — DCF Model v7</t>
  </si>
  <si>
    <t xml:space="preserve">Updated June 3, 2026 | Reflects Buy / $1,200 PT</t>
  </si>
  <si>
    <t xml:space="preserve">Rating</t>
  </si>
  <si>
    <t xml:space="preserve">Buy (upgraded from Hold on June 3, 2026)</t>
  </si>
  <si>
    <t xml:space="preserve">Price Target</t>
  </si>
  <si>
    <t xml:space="preserve">$1,200</t>
  </si>
  <si>
    <t xml:space="preserve">Current Price (Jun 3, 2026)</t>
  </si>
  <si>
    <t xml:space="preserve">$959.36</t>
  </si>
  <si>
    <t xml:space="preserve">Market Cap</t>
  </si>
  <si>
    <t xml:space="preserve">~$258B</t>
  </si>
  <si>
    <t xml:space="preserve">Net Cash (Q1'26)</t>
  </si>
  <si>
    <t xml:space="preserve">$7.3B</t>
  </si>
  <si>
    <t xml:space="preserve">2026E Revenue guidance</t>
  </si>
  <si>
    <t xml:space="preserve">$44.5-$45.5B</t>
  </si>
  <si>
    <t xml:space="preserve">2026E Adj. EBITDA margin guidance</t>
  </si>
  <si>
    <t xml:space="preserve">12%-14%</t>
  </si>
  <si>
    <t xml:space="preserve">2026E FCF guidance (raised)</t>
  </si>
  <si>
    <t xml:space="preserve">$6.5-$7.5B</t>
  </si>
  <si>
    <t xml:space="preserve">Gas turbine backlog + reservations (Q1'26)</t>
  </si>
  <si>
    <t xml:space="preserve">100 GW (target: 110 GW by YE2026)</t>
  </si>
  <si>
    <t xml:space="preserve">Analyst consensus</t>
  </si>
  <si>
    <t xml:space="preserve">Buy | Mean PT $1,120 | Median $1,195</t>
  </si>
  <si>
    <t xml:space="preserve">WACC</t>
  </si>
  <si>
    <t xml:space="preserve">10.5%</t>
  </si>
  <si>
    <t xml:space="preserve">Terminal Growth Rate</t>
  </si>
  <si>
    <t xml:space="preserve">2.5%</t>
  </si>
  <si>
    <t xml:space="preserve">Change from v6</t>
  </si>
  <si>
    <t xml:space="preserve">Rating Buy, PT $1,200 (was Hold/$440). WACC lowered to 10.5% (improved credit quality, net cash). Margin assumptions raised per Q1'26 actuals and raised guidance.</t>
  </si>
  <si>
    <t xml:space="preserve">Source: Bigdata.com (QRHIPR), GEV Q1'26 earnings, June 3, 2026 | Powered by Bigdata.com — https://bigdata.com</t>
  </si>
  <si>
    <t xml:space="preserve">Assumption</t>
  </si>
  <si>
    <t xml:space="preserve">Value</t>
  </si>
  <si>
    <t xml:space="preserve">Rationale / Source</t>
  </si>
  <si>
    <t xml:space="preserve">WACC COMPONENTS</t>
  </si>
  <si>
    <t xml:space="preserve">  Risk-Free Rate (10Y UST)</t>
  </si>
  <si>
    <t xml:space="preserve">fmt:0.0%</t>
  </si>
  <si>
    <t xml:space="preserve">  Equity Risk Premium</t>
  </si>
  <si>
    <t xml:space="preserve">  Beta (adjusted)</t>
  </si>
  <si>
    <t xml:space="preserve">fmt:0.00</t>
  </si>
  <si>
    <t xml:space="preserve">  Cost of Equity</t>
  </si>
  <si>
    <t xml:space="preserve">  After-tax Cost of Debt</t>
  </si>
  <si>
    <t xml:space="preserve">  Debt Weight</t>
  </si>
  <si>
    <t xml:space="preserve">  WACC</t>
  </si>
  <si>
    <t xml:space="preserve">TERMINAL VALUE</t>
  </si>
  <si>
    <t xml:space="preserve">  Terminal Growth Rate (g)</t>
  </si>
  <si>
    <t xml:space="preserve">  Terminal EBITDA Multiple (cross-check)</t>
  </si>
  <si>
    <t xml:space="preserve">fmt:0.0x</t>
  </si>
  <si>
    <t xml:space="preserve">CAPITAL STRUCTURE</t>
  </si>
  <si>
    <t xml:space="preserve">  Net Cash (Q1'26, $B)</t>
  </si>
  <si>
    <t xml:space="preserve">fmt:0.0</t>
  </si>
  <si>
    <t xml:space="preserve">  Diluted Shares (M)</t>
  </si>
  <si>
    <t xml:space="preserve">fmt:0</t>
  </si>
  <si>
    <t xml:space="preserve">  Tax Rate</t>
  </si>
  <si>
    <t xml:space="preserve">($M unless noted)</t>
  </si>
  <si>
    <t xml:space="preserve">2024A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</si>
  <si>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</si>
  <si>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</si>
  <si>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</si>
  <si>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</si>
  <si>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</si>
  <si>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</si>
  <si>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INCOME STATEMENT</t>
  </si>
  <si>
    <t xml:space="preserve">  Revenue</t>
  </si>
  <si>
    <t xml:space="preserve">  YoY Growth</t>
  </si>
  <si>
    <t xml:space="preserve">  Adj. EBITDA</t>
  </si>
  <si>
    <t xml:space="preserve">  Adj. EBITDA Margin</t>
  </si>
  <si>
    <t xml:space="preserve">  D&amp;A</t>
  </si>
  <si>
    <t xml:space="preserve">  EBIT</t>
  </si>
  <si>
    <t xml:space="preserve">  NOPAT (after-tax EBIT)</t>
  </si>
  <si>
    <t xml:space="preserve">FREE CASH FLOW</t>
  </si>
  <si>
    <t xml:space="preserve">  NOPAT</t>
  </si>
  <si>
    <t xml:space="preserve">  + D&amp;A</t>
  </si>
  <si>
    <t xml:space="preserve">  - CapEx</t>
  </si>
  <si>
    <t xml:space="preserve">  - Working Capital Change (contract liabilities tailwind)</t>
  </si>
  <si>
    <t xml:space="preserve">  Unlevered FCF (UFCF)</t>
  </si>
  <si>
    <t xml:space="preserve">DCF CALCULATION (explicit forecast 2026-2030)</t>
  </si>
  <si>
    <t xml:space="preserve">  Year (from valuation date)</t>
  </si>
  <si>
    <t xml:space="preserve">  Discount Factor</t>
  </si>
  <si>
    <t xml:space="preserve">  PV of UFCF</t>
  </si>
  <si>
    <t xml:space="preserve">  Sum of PV (UFCF)</t>
  </si>
  <si>
    <t xml:space="preserve">  Terminal UFCF (normalized; last year * (1+g))</t>
  </si>
  <si>
    <t xml:space="preserve">  Terminal Value (Gordon Growth = terminal UFCF / (WACC-g))</t>
  </si>
  <si>
    <t xml:space="preserve">  PV of Terminal Value</t>
  </si>
  <si>
    <t xml:space="preserve">ENTERPRISE &amp; EQUITY VALUE</t>
  </si>
  <si>
    <t xml:space="preserve">  Sum of PV (Explicit FCFs)</t>
  </si>
  <si>
    <t xml:space="preserve">  Enterprise Value</t>
  </si>
  <si>
    <t xml:space="preserve">  + Net Cash</t>
  </si>
  <si>
    <t xml:space="preserve">  Equity Value</t>
  </si>
  <si>
    <t xml:space="preserve">  Implied Share Price</t>
  </si>
  <si>
    <t xml:space="preserve">WACC \ Term. g</t>
  </si>
  <si>
    <t xml:space="preserve">1.5%</t>
  </si>
  <si>
    <t xml:space="preserve">2.0%</t>
  </si>
  <si>
    <t xml:space="preserve">3.0%</t>
  </si>
  <si>
    <t xml:space="preserve">3.5%</t>
  </si>
  <si>
    <t xml:space="preserve">9.0%</t>
  </si>
  <si>
    <t xml:space="preserve">9.5%</t>
  </si>
  <si>
    <t xml:space="preserve">10.0%</t>
  </si>
  <si>
    <t xml:space="preserve">11.0%</t>
  </si>
  <si>
    <t xml:space="preserve">Green = within $150 of base PT ($1,200)  |  Yellow = Bull case (&gt;$1,350)</t>
  </si>
  <si>
    <t xml:space="preserve">Base: WACC 10.5%, g 2.5%, Normalized UFCF ~$8.5B, Net Cash $7.3B, 272M shares</t>
  </si>
  <si>
    <t xml:space="preserve">Note: WACC lowered vs. v6 (11.3%) to reflect GEV's net cash position and improved credit quality post-Prolec integration.</t>
  </si>
  <si>
    <t xml:space="preserve">Item</t>
  </si>
  <si>
    <t xml:space="preserve">v6 (Hold/$440)</t>
  </si>
  <si>
    <t xml:space="preserve">v7 (Buy/$1,200)</t>
  </si>
  <si>
    <t xml:space="preserve">Rationale</t>
  </si>
  <si>
    <t xml:space="preserve">Hold</t>
  </si>
  <si>
    <t xml:space="preserve">Buy</t>
  </si>
  <si>
    <t xml:space="preserve">Q1'26 beat, backlog 100GW ahead of schedule; May 27 selloff to $959 is re-entry</t>
  </si>
  <si>
    <t xml:space="preserve">$440</t>
  </si>
  <si>
    <t xml:space="preserve">28x NTM EV/EBITDA on 2027E $7.5B EBITDA + $7.3B net cash</t>
  </si>
  <si>
    <t xml:space="preserve">11.3%</t>
  </si>
  <si>
    <t xml:space="preserve">Net cash $7.3B (vs. near-zero leverage assumed in v6); IG credit quality post-Prolec</t>
  </si>
  <si>
    <t xml:space="preserve">2026E EBITDA</t>
  </si>
  <si>
    <t xml:space="preserve">~$5.9B</t>
  </si>
  <si>
    <t xml:space="preserve">~$5.85B</t>
  </si>
  <si>
    <t xml:space="preserve">In line with raised guidance midpoint (12-14% × $45B midpoint)</t>
  </si>
  <si>
    <t xml:space="preserve">2027E EBITDA</t>
  </si>
  <si>
    <t xml:space="preserve">~$7.5B</t>
  </si>
  <si>
    <t xml:space="preserve">Unchanged; backlog conversion supports 16-18% Power + Electrification margin expansion</t>
  </si>
  <si>
    <t xml:space="preserve">2030E UFCF</t>
  </si>
  <si>
    <t xml:space="preserve">~$9B</t>
  </si>
  <si>
    <t xml:space="preserve">~$8.5B</t>
  </si>
  <si>
    <t xml:space="preserve">Conservative; FCF conversion below EBITDA as CapEx reinvestment continues</t>
  </si>
  <si>
    <t xml:space="preserve">Working Capital</t>
  </si>
  <si>
    <t xml:space="preserve">Hybrid fading</t>
  </si>
  <si>
    <t xml:space="preserve">Large 2026 tailwind, fading</t>
  </si>
  <si>
    <t xml:space="preserve">Contract liabilities grew $8B in 2025; Q1'26 showed $5.2B operating CF from WC alone</t>
  </si>
  <si>
    <t xml:space="preserve">PT Methodology</t>
  </si>
  <si>
    <t xml:space="preserve">DCF (Gordon Growth)</t>
  </si>
  <si>
    <t xml:space="preserve">EV/EBITDA primary</t>
  </si>
  <si>
    <t xml:space="preserve">Market prices GEV on infrastructure multiple; DCF used as cross-check</t>
  </si>
  <si>
    <t xml:space="preserve">EV/EBITDA (PT)</t>
  </si>
  <si>
    <t xml:space="preserve">18.5x 2027E</t>
  </si>
  <si>
    <t xml:space="preserve">28x NTM</t>
  </si>
  <si>
    <t xml:space="preserve">Re-rated to reflect AI infrastructure premium; Jefferies/Goldman PTs $1,328-$1,350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</si>
</sst>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.00"/>
    <numFmt numFmtId="167" formatCode="#,##0"/>
    <numFmt numFmtId="168" formatCode="0.0"/>
    <numFmt numFmtId="169" formatCode="#,##0;\(#,##0\);\-"/>
    <numFmt numFmtId="170" formatCode="0"/>
    <numFmt numFmtId="171" formatCode="0.0000"/>
    <numFmt numFmtId="172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3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 t="s">
        <v>10</v>
      </c>
      <c r="B8" s="5" t="s">
        <v>11</v>
      </c>
    </row>
    <row r="9" customFormat="false" ht="15" hidden="false" customHeight="true" outlineLevel="0" collapsed="false">
      <c r="A9" s="4" t="s">
        <v>12</v>
      </c>
      <c r="B9" s="5" t="s">
        <v>13</v>
      </c>
    </row>
    <row r="10" customFormat="false" ht="15" hidden="false" customHeight="true" outlineLevel="0" collapsed="false">
      <c r="A10" s="4" t="s">
        <v>14</v>
      </c>
      <c r="B10" s="5" t="s">
        <v>15</v>
      </c>
    </row>
    <row r="11" customFormat="false" ht="15" hidden="false" customHeight="true" outlineLevel="0" collapsed="false">
      <c r="A11" s="4" t="s">
        <v>16</v>
      </c>
      <c r="B11" s="5" t="s">
        <v>17</v>
      </c>
    </row>
    <row r="12" customFormat="false" ht="15" hidden="false" customHeight="true" outlineLevel="0" collapsed="false">
      <c r="A12" s="4" t="s">
        <v>18</v>
      </c>
      <c r="B12" s="5" t="s">
        <v>19</v>
      </c>
    </row>
    <row r="13" customFormat="false" ht="15" hidden="false" customHeight="true" outlineLevel="0" collapsed="false">
      <c r="A13" s="4" t="s">
        <v>20</v>
      </c>
      <c r="B13" s="5" t="s">
        <v>21</v>
      </c>
    </row>
    <row r="14" customFormat="false" ht="15" hidden="false" customHeight="true" outlineLevel="0" collapsed="false">
      <c r="A14" s="4" t="s">
        <v>22</v>
      </c>
      <c r="B14" s="5" t="s">
        <v>23</v>
      </c>
    </row>
    <row r="15" customFormat="false" ht="15" hidden="false" customHeight="true" outlineLevel="0" collapsed="false">
      <c r="A15" s="4" t="s">
        <v>24</v>
      </c>
      <c r="B15" s="5" t="s">
        <v>25</v>
      </c>
    </row>
    <row r="16" customFormat="false" ht="15" hidden="false" customHeight="true" outlineLevel="0" collapsed="false">
      <c r="A16" s="4" t="s">
        <v>26</v>
      </c>
      <c r="B16" s="5" t="s">
        <v>27</v>
      </c>
    </row>
    <row r="22" customFormat="false" ht="15" hidden="false" customHeight="true" outlineLevel="0" collapsed="false">
      <c r="A22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6"/>
    <col collapsed="false" customWidth="true" hidden="false" outlineLevel="0" max="3" min="3" style="1" width="42"/>
  </cols>
  <sheetData>
    <row r="1" customFormat="false" ht="15" hidden="false" customHeight="true" outlineLevel="0" collapsed="false">
      <c r="A1" s="7" t="s">
        <v>29</v>
      </c>
      <c r="B1" s="7" t="s">
        <v>30</v>
      </c>
      <c r="C1" s="7" t="s">
        <v>31</v>
      </c>
    </row>
    <row r="2" customFormat="false" ht="15" hidden="false" customHeight="true" outlineLevel="0" collapsed="false">
      <c r="A2" s="8" t="s">
        <v>32</v>
      </c>
      <c r="B2" s="9"/>
      <c r="C2" s="9"/>
      <c r="D2" s="9"/>
      <c r="E2" s="9"/>
      <c r="F2" s="9"/>
      <c r="G2" s="9"/>
      <c r="H2" s="9"/>
      <c r="I2" s="9"/>
    </row>
    <row r="3" customFormat="false" ht="15" hidden="false" customHeight="true" outlineLevel="0" collapsed="false">
      <c r="A3" s="10" t="s">
        <v>33</v>
      </c>
      <c r="B3" s="11" t="n">
        <v>0.043</v>
      </c>
      <c r="C3" s="10" t="s">
        <v>34</v>
      </c>
    </row>
    <row r="4" customFormat="false" ht="15" hidden="false" customHeight="true" outlineLevel="0" collapsed="false">
      <c r="A4" s="10" t="s">
        <v>35</v>
      </c>
      <c r="B4" s="11" t="n">
        <v>0.055</v>
      </c>
      <c r="C4" s="10" t="s">
        <v>34</v>
      </c>
    </row>
    <row r="5" customFormat="false" ht="15" hidden="false" customHeight="true" outlineLevel="0" collapsed="false">
      <c r="A5" s="10" t="s">
        <v>36</v>
      </c>
      <c r="B5" s="12" t="n">
        <v>1.1</v>
      </c>
      <c r="C5" s="10" t="s">
        <v>37</v>
      </c>
    </row>
    <row r="6" customFormat="false" ht="15" hidden="false" customHeight="true" outlineLevel="0" collapsed="false">
      <c r="A6" s="10" t="s">
        <v>38</v>
      </c>
      <c r="B6" s="13" t="n">
        <f aca="false">B3+(B5*B4)</f>
        <v>0.1035</v>
      </c>
      <c r="C6" s="10" t="s">
        <v>34</v>
      </c>
    </row>
    <row r="7" customFormat="false" ht="15" hidden="false" customHeight="true" outlineLevel="0" collapsed="false">
      <c r="A7" s="10" t="s">
        <v>39</v>
      </c>
      <c r="B7" s="11" t="n">
        <v>0.04</v>
      </c>
      <c r="C7" s="10" t="s">
        <v>34</v>
      </c>
    </row>
    <row r="8" customFormat="false" ht="15" hidden="false" customHeight="true" outlineLevel="0" collapsed="false">
      <c r="A8" s="10" t="s">
        <v>40</v>
      </c>
      <c r="B8" s="11" t="n">
        <v>0.08</v>
      </c>
      <c r="C8" s="10" t="s">
        <v>34</v>
      </c>
    </row>
    <row r="9" customFormat="false" ht="15" hidden="false" customHeight="true" outlineLevel="0" collapsed="false">
      <c r="A9" s="10" t="s">
        <v>41</v>
      </c>
      <c r="B9" s="13" t="n">
        <f aca="false">B6*(1-B8)+B7*B8</f>
        <v>0.09842</v>
      </c>
      <c r="C9" s="10" t="s">
        <v>34</v>
      </c>
    </row>
    <row r="10" customFormat="false" ht="15" hidden="false" customHeight="true" outlineLevel="0" collapsed="false">
      <c r="A10" s="8" t="s">
        <v>42</v>
      </c>
      <c r="B10" s="9"/>
      <c r="C10" s="9"/>
      <c r="D10" s="9"/>
      <c r="E10" s="9"/>
      <c r="F10" s="9"/>
      <c r="G10" s="9"/>
      <c r="H10" s="9"/>
      <c r="I10" s="9"/>
    </row>
    <row r="11" customFormat="false" ht="15" hidden="false" customHeight="true" outlineLevel="0" collapsed="false">
      <c r="A11" s="10" t="s">
        <v>43</v>
      </c>
      <c r="B11" s="11" t="n">
        <v>0.025</v>
      </c>
      <c r="C11" s="10" t="s">
        <v>34</v>
      </c>
    </row>
    <row r="12" customFormat="false" ht="15" hidden="false" customHeight="true" outlineLevel="0" collapsed="false">
      <c r="A12" s="10" t="s">
        <v>44</v>
      </c>
      <c r="B12" s="14" t="n">
        <v>22</v>
      </c>
      <c r="C12" s="10" t="s">
        <v>45</v>
      </c>
    </row>
    <row r="13" customFormat="false" ht="15" hidden="false" customHeight="true" outlineLevel="0" collapsed="false">
      <c r="A13" s="8" t="s">
        <v>46</v>
      </c>
      <c r="B13" s="9"/>
      <c r="C13" s="9"/>
      <c r="D13" s="9"/>
      <c r="E13" s="9"/>
      <c r="F13" s="9"/>
      <c r="G13" s="9"/>
      <c r="H13" s="9"/>
      <c r="I13" s="9"/>
    </row>
    <row r="14" customFormat="false" ht="15" hidden="false" customHeight="true" outlineLevel="0" collapsed="false">
      <c r="A14" s="10" t="s">
        <v>47</v>
      </c>
      <c r="B14" s="15" t="n">
        <v>7.3</v>
      </c>
      <c r="C14" s="10" t="s">
        <v>48</v>
      </c>
    </row>
    <row r="15" customFormat="false" ht="15" hidden="false" customHeight="true" outlineLevel="0" collapsed="false">
      <c r="A15" s="10" t="s">
        <v>49</v>
      </c>
      <c r="B15" s="14" t="n">
        <v>272</v>
      </c>
      <c r="C15" s="10" t="s">
        <v>50</v>
      </c>
    </row>
    <row r="16" customFormat="false" ht="15" hidden="false" customHeight="true" outlineLevel="0" collapsed="false">
      <c r="A16" s="10" t="s">
        <v>51</v>
      </c>
      <c r="B16" s="11" t="n">
        <v>0.25</v>
      </c>
      <c r="C16" s="1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8" min="2" style="1" width="13"/>
  </cols>
  <sheetData>
    <row r="1" customFormat="false" ht="15" hidden="false" customHeight="true" outlineLevel="0" collapsed="false">
      <c r="A1" s="7" t="s">
        <v>52</v>
      </c>
      <c r="B1" s="7" t="s">
        <v>53</v>
      </c>
      <c r="C1" s="7" t="s">
        <v>54</v>
      </c>
      <c r="D1" s="7" t="s">
        <v>55</v>
      </c>
      <c r="E1" s="7" t="s">
        <v>56</v>
      </c>
      <c r="F1" s="7" t="s">
        <v>57</v>
      </c>
      <c r="G1" s="7" t="s">
        <v>58</v>
      </c>
      <c r="H1" s="7" t="s">
        <v>59</v>
      </c>
    </row>
    <row r="2" customFormat="false" ht="15" hidden="false" customHeight="true" outlineLevel="0" collapsed="false">
      <c r="A2" s="8" t="s">
        <v>60</v>
      </c>
      <c r="B2" s="9"/>
      <c r="C2" s="9"/>
      <c r="D2" s="9"/>
      <c r="E2" s="9"/>
      <c r="F2" s="9"/>
      <c r="G2" s="9"/>
      <c r="H2" s="9"/>
      <c r="I2" s="9"/>
    </row>
    <row r="3" customFormat="false" ht="15" hidden="false" customHeight="true" outlineLevel="0" collapsed="false">
      <c r="A3" s="10" t="s">
        <v>61</v>
      </c>
      <c r="B3" s="16" t="n">
        <v>34900</v>
      </c>
      <c r="C3" s="16" t="n">
        <v>38100</v>
      </c>
      <c r="D3" s="17" t="n">
        <v>45000</v>
      </c>
      <c r="E3" s="17" t="n">
        <v>52000</v>
      </c>
      <c r="F3" s="17" t="n">
        <v>58500</v>
      </c>
      <c r="G3" s="17" t="n">
        <v>63000</v>
      </c>
      <c r="H3" s="17" t="n">
        <v>67500</v>
      </c>
    </row>
    <row r="4" customFormat="false" ht="15" hidden="false" customHeight="true" outlineLevel="0" collapsed="false">
      <c r="A4" s="10" t="s">
        <v>62</v>
      </c>
      <c r="B4" s="18"/>
      <c r="C4" s="19" t="n">
        <f aca="false">(C3-B3)/B3</f>
        <v>0.0916905444126075</v>
      </c>
      <c r="D4" s="19" t="n">
        <f aca="false">(D3-C3)/C3</f>
        <v>0.181102362204724</v>
      </c>
      <c r="E4" s="19" t="n">
        <f aca="false">(E3-D3)/D3</f>
        <v>0.155555555555556</v>
      </c>
      <c r="F4" s="19" t="n">
        <f aca="false">(F3-E3)/E3</f>
        <v>0.125</v>
      </c>
      <c r="G4" s="19" t="n">
        <f aca="false">(G3-F3)/F3</f>
        <v>0.0769230769230769</v>
      </c>
      <c r="H4" s="19" t="n">
        <f aca="false">(H3-G3)/G3</f>
        <v>0.0714285714285714</v>
      </c>
      <c r="I4" s="18"/>
    </row>
    <row r="5" customFormat="false" ht="15" hidden="false" customHeight="true" outlineLevel="0" collapsed="false">
      <c r="A5" s="10" t="s">
        <v>63</v>
      </c>
      <c r="B5" s="16" t="n">
        <v>1400</v>
      </c>
      <c r="C5" s="16" t="n">
        <v>2050</v>
      </c>
      <c r="D5" s="17" t="n">
        <v>5850</v>
      </c>
      <c r="E5" s="17" t="n">
        <v>7500</v>
      </c>
      <c r="F5" s="17" t="n">
        <v>9000</v>
      </c>
      <c r="G5" s="17" t="n">
        <v>10000</v>
      </c>
      <c r="H5" s="17" t="n">
        <v>11000</v>
      </c>
    </row>
    <row r="6" customFormat="false" ht="15" hidden="false" customHeight="true" outlineLevel="0" collapsed="false">
      <c r="A6" s="10" t="s">
        <v>64</v>
      </c>
      <c r="B6" s="19" t="n">
        <f aca="false">B5/B3</f>
        <v>0.0401146131805158</v>
      </c>
      <c r="C6" s="19" t="n">
        <f aca="false">C5/C3</f>
        <v>0.0538057742782152</v>
      </c>
      <c r="D6" s="19" t="n">
        <f aca="false">D5/D3</f>
        <v>0.13</v>
      </c>
      <c r="E6" s="19" t="n">
        <f aca="false">E5/E3</f>
        <v>0.144230769230769</v>
      </c>
      <c r="F6" s="19" t="n">
        <f aca="false">F5/F3</f>
        <v>0.153846153846154</v>
      </c>
      <c r="G6" s="19" t="n">
        <f aca="false">G5/G3</f>
        <v>0.158730158730159</v>
      </c>
      <c r="H6" s="19" t="n">
        <f aca="false">H5/H3</f>
        <v>0.162962962962963</v>
      </c>
    </row>
    <row r="7" customFormat="false" ht="15" hidden="false" customHeight="true" outlineLevel="0" collapsed="false">
      <c r="A7" s="10" t="s">
        <v>65</v>
      </c>
      <c r="B7" s="16" t="n">
        <v>900</v>
      </c>
      <c r="C7" s="16" t="n">
        <v>1000</v>
      </c>
      <c r="D7" s="17" t="n">
        <v>1100</v>
      </c>
      <c r="E7" s="17" t="n">
        <v>1200</v>
      </c>
      <c r="F7" s="17" t="n">
        <v>1300</v>
      </c>
      <c r="G7" s="17" t="n">
        <v>1350</v>
      </c>
      <c r="H7" s="17" t="n">
        <v>1400</v>
      </c>
    </row>
    <row r="8" customFormat="false" ht="15" hidden="false" customHeight="true" outlineLevel="0" collapsed="false">
      <c r="A8" s="10" t="s">
        <v>66</v>
      </c>
      <c r="B8" s="16" t="n">
        <f aca="false">B5-B7</f>
        <v>500</v>
      </c>
      <c r="C8" s="16" t="n">
        <f aca="false">C5-C7</f>
        <v>1050</v>
      </c>
      <c r="D8" s="16" t="n">
        <f aca="false">D5-D7</f>
        <v>4750</v>
      </c>
      <c r="E8" s="16" t="n">
        <f aca="false">E5-E7</f>
        <v>6300</v>
      </c>
      <c r="F8" s="16" t="n">
        <f aca="false">F5-F7</f>
        <v>7700</v>
      </c>
      <c r="G8" s="16" t="n">
        <f aca="false">G5-G7</f>
        <v>8650</v>
      </c>
      <c r="H8" s="16" t="n">
        <f aca="false">H5-H7</f>
        <v>9600</v>
      </c>
    </row>
    <row r="9" customFormat="false" ht="15" hidden="false" customHeight="true" outlineLevel="0" collapsed="false">
      <c r="A9" s="10" t="s">
        <v>51</v>
      </c>
      <c r="B9" s="20" t="n">
        <v>0</v>
      </c>
      <c r="C9" s="20" t="n">
        <v>0</v>
      </c>
      <c r="D9" s="11" t="n">
        <v>0.25</v>
      </c>
      <c r="E9" s="11" t="n">
        <v>0.25</v>
      </c>
      <c r="F9" s="11" t="n">
        <v>0.25</v>
      </c>
      <c r="G9" s="11" t="n">
        <v>0.25</v>
      </c>
      <c r="H9" s="11" t="n">
        <v>0.25</v>
      </c>
    </row>
    <row r="10" customFormat="false" ht="15" hidden="false" customHeight="true" outlineLevel="0" collapsed="false">
      <c r="A10" s="10" t="s">
        <v>67</v>
      </c>
      <c r="B10" s="18"/>
      <c r="C10" s="18"/>
      <c r="D10" s="16" t="n">
        <f aca="false">D8*(1-D9)</f>
        <v>3562.5</v>
      </c>
      <c r="E10" s="16" t="n">
        <f aca="false">E8*(1-E9)</f>
        <v>4725</v>
      </c>
      <c r="F10" s="16" t="n">
        <f aca="false">F8*(1-F9)</f>
        <v>5775</v>
      </c>
      <c r="G10" s="16" t="n">
        <f aca="false">G8*(1-G9)</f>
        <v>6487.5</v>
      </c>
      <c r="H10" s="16" t="n">
        <f aca="false">H8*(1-H9)</f>
        <v>7200</v>
      </c>
      <c r="I10" s="18"/>
    </row>
    <row r="11" customFormat="false" ht="15" hidden="false" customHeight="true" outlineLevel="0" collapsed="false">
      <c r="A11" s="18"/>
      <c r="B11" s="18"/>
      <c r="C11" s="18"/>
      <c r="D11" s="18"/>
      <c r="E11" s="18"/>
      <c r="F11" s="18"/>
      <c r="G11" s="18"/>
      <c r="H11" s="18"/>
      <c r="I11" s="18"/>
    </row>
    <row r="12" customFormat="false" ht="15" hidden="false" customHeight="true" outlineLevel="0" collapsed="false">
      <c r="A12" s="8" t="s">
        <v>68</v>
      </c>
      <c r="B12" s="9"/>
      <c r="C12" s="9"/>
      <c r="D12" s="9"/>
      <c r="E12" s="9"/>
      <c r="F12" s="9"/>
      <c r="G12" s="9"/>
      <c r="H12" s="9"/>
      <c r="I12" s="9"/>
    </row>
    <row r="13" customFormat="false" ht="15" hidden="false" customHeight="true" outlineLevel="0" collapsed="false">
      <c r="A13" s="10" t="s">
        <v>69</v>
      </c>
      <c r="B13" s="18"/>
      <c r="C13" s="18"/>
      <c r="D13" s="16" t="n">
        <f aca="false">D10</f>
        <v>3562.5</v>
      </c>
      <c r="E13" s="16" t="n">
        <f aca="false">E10</f>
        <v>4725</v>
      </c>
      <c r="F13" s="16" t="n">
        <f aca="false">F10</f>
        <v>5775</v>
      </c>
      <c r="G13" s="16" t="n">
        <f aca="false">G10</f>
        <v>6487.5</v>
      </c>
      <c r="H13" s="16" t="n">
        <f aca="false">H10</f>
        <v>7200</v>
      </c>
    </row>
    <row r="14" customFormat="false" ht="15" hidden="false" customHeight="true" outlineLevel="0" collapsed="false">
      <c r="A14" s="10" t="s">
        <v>70</v>
      </c>
      <c r="B14" s="18"/>
      <c r="C14" s="18"/>
      <c r="D14" s="16" t="n">
        <f aca="false">D7</f>
        <v>1100</v>
      </c>
      <c r="E14" s="16" t="n">
        <f aca="false">E7</f>
        <v>1200</v>
      </c>
      <c r="F14" s="16" t="n">
        <f aca="false">F7</f>
        <v>1300</v>
      </c>
      <c r="G14" s="16" t="n">
        <f aca="false">G7</f>
        <v>1350</v>
      </c>
      <c r="H14" s="16" t="n">
        <f aca="false">H7</f>
        <v>1400</v>
      </c>
    </row>
    <row r="15" customFormat="false" ht="15" hidden="false" customHeight="true" outlineLevel="0" collapsed="false">
      <c r="A15" s="10" t="s">
        <v>71</v>
      </c>
      <c r="B15" s="16" t="n">
        <v>-900</v>
      </c>
      <c r="C15" s="16" t="n">
        <v>-1300</v>
      </c>
      <c r="D15" s="17" t="n">
        <v>-1700</v>
      </c>
      <c r="E15" s="17" t="n">
        <v>-1600</v>
      </c>
      <c r="F15" s="17" t="n">
        <v>-1500</v>
      </c>
      <c r="G15" s="17" t="n">
        <v>-1400</v>
      </c>
      <c r="H15" s="17" t="n">
        <v>-1300</v>
      </c>
    </row>
    <row r="16" customFormat="false" ht="15" hidden="false" customHeight="true" outlineLevel="0" collapsed="false">
      <c r="A16" s="10" t="s">
        <v>72</v>
      </c>
      <c r="B16" s="16" t="n">
        <v>0</v>
      </c>
      <c r="C16" s="16" t="n">
        <v>0</v>
      </c>
      <c r="D16" s="17" t="n">
        <v>3000</v>
      </c>
      <c r="E16" s="17" t="n">
        <v>1500</v>
      </c>
      <c r="F16" s="17" t="n">
        <v>500</v>
      </c>
      <c r="G16" s="17" t="n">
        <v>0</v>
      </c>
      <c r="H16" s="17" t="n">
        <v>0</v>
      </c>
    </row>
    <row r="17" customFormat="false" ht="15" hidden="false" customHeight="true" outlineLevel="0" collapsed="false">
      <c r="A17" s="10" t="s">
        <v>73</v>
      </c>
      <c r="B17" s="18"/>
      <c r="C17" s="18"/>
      <c r="D17" s="16" t="n">
        <f aca="false">SUM(D13:D16)</f>
        <v>5962.5</v>
      </c>
      <c r="E17" s="16" t="n">
        <f aca="false">SUM(E13:E16)</f>
        <v>5825</v>
      </c>
      <c r="F17" s="16" t="n">
        <f aca="false">SUM(F13:F16)</f>
        <v>6075</v>
      </c>
      <c r="G17" s="16" t="n">
        <f aca="false">SUM(G13:G16)</f>
        <v>6437.5</v>
      </c>
      <c r="H17" s="16" t="n">
        <f aca="false">SUM(H13:H16)</f>
        <v>7300</v>
      </c>
    </row>
    <row r="18" customFormat="false" ht="15" hidden="false" customHeight="true" outlineLevel="0" collapsed="false">
      <c r="A18" s="18"/>
      <c r="B18" s="18"/>
      <c r="C18" s="18"/>
      <c r="D18" s="18"/>
      <c r="E18" s="18"/>
      <c r="F18" s="18"/>
      <c r="G18" s="18"/>
      <c r="H18" s="18"/>
      <c r="I18" s="18"/>
    </row>
    <row r="19" customFormat="false" ht="15" hidden="false" customHeight="true" outlineLevel="0" collapsed="false">
      <c r="A19" s="8" t="s">
        <v>74</v>
      </c>
      <c r="B19" s="9"/>
      <c r="C19" s="9"/>
      <c r="D19" s="9"/>
      <c r="E19" s="9"/>
      <c r="F19" s="9"/>
      <c r="G19" s="9"/>
      <c r="H19" s="9"/>
      <c r="I19" s="9"/>
    </row>
    <row r="20" customFormat="false" ht="15" hidden="false" customHeight="true" outlineLevel="0" collapsed="false">
      <c r="A20" s="10" t="s">
        <v>41</v>
      </c>
      <c r="B20" s="18"/>
      <c r="C20" s="18"/>
      <c r="D20" s="13" t="n">
        <f aca="false">Assumptions!B9</f>
        <v>0.09842</v>
      </c>
      <c r="E20" s="18"/>
      <c r="F20" s="18"/>
      <c r="G20" s="18"/>
      <c r="H20" s="18"/>
    </row>
    <row r="21" customFormat="false" ht="15" hidden="false" customHeight="true" outlineLevel="0" collapsed="false">
      <c r="A21" s="10" t="s">
        <v>75</v>
      </c>
      <c r="B21" s="18"/>
      <c r="C21" s="18"/>
      <c r="D21" s="21" t="n">
        <v>1</v>
      </c>
      <c r="E21" s="21" t="n">
        <v>2</v>
      </c>
      <c r="F21" s="21" t="n">
        <v>3</v>
      </c>
      <c r="G21" s="21" t="n">
        <v>4</v>
      </c>
      <c r="H21" s="21" t="n">
        <v>5</v>
      </c>
    </row>
    <row r="22" customFormat="false" ht="15" hidden="false" customHeight="true" outlineLevel="0" collapsed="false">
      <c r="A22" s="10" t="s">
        <v>76</v>
      </c>
      <c r="B22" s="18"/>
      <c r="C22" s="18"/>
      <c r="D22" s="22" t="n">
        <f aca="false">1/(1+$D$20)^D21</f>
        <v>0.910398572495038</v>
      </c>
      <c r="E22" s="22" t="n">
        <f aca="false">1/(1+$D$20)^E21</f>
        <v>0.828825560801004</v>
      </c>
      <c r="F22" s="22" t="n">
        <f aca="false">1/(1+$D$20)^F21</f>
        <v>0.754561607400633</v>
      </c>
      <c r="G22" s="22" t="n">
        <f aca="false">1/(1+$D$20)^G21</f>
        <v>0.686951810237098</v>
      </c>
      <c r="H22" s="22" t="n">
        <f aca="false">1/(1+$D$20)^H21</f>
        <v>0.625399947412737</v>
      </c>
    </row>
    <row r="23" customFormat="false" ht="15" hidden="false" customHeight="true" outlineLevel="0" collapsed="false">
      <c r="A23" s="10" t="s">
        <v>77</v>
      </c>
      <c r="B23" s="18"/>
      <c r="C23" s="18"/>
      <c r="D23" s="16" t="n">
        <f aca="false">D17*D22</f>
        <v>5428.25148850167</v>
      </c>
      <c r="E23" s="16" t="n">
        <f aca="false">E17*E22</f>
        <v>4827.90889166585</v>
      </c>
      <c r="F23" s="16" t="n">
        <f aca="false">F17*F22</f>
        <v>4583.96176495885</v>
      </c>
      <c r="G23" s="16" t="n">
        <f aca="false">G17*G22</f>
        <v>4422.25227840132</v>
      </c>
      <c r="H23" s="16" t="n">
        <f aca="false">H17*H22</f>
        <v>4565.41961611298</v>
      </c>
    </row>
    <row r="24" customFormat="false" ht="15" hidden="false" customHeight="true" outlineLevel="0" collapsed="false">
      <c r="A24" s="10" t="s">
        <v>78</v>
      </c>
      <c r="B24" s="18"/>
      <c r="C24" s="18"/>
      <c r="D24" s="16" t="n">
        <f aca="false">SUM(E23:I23)</f>
        <v>18399.542551139</v>
      </c>
      <c r="E24" s="18"/>
      <c r="F24" s="18"/>
      <c r="G24" s="18"/>
      <c r="H24" s="18"/>
    </row>
    <row r="25" customFormat="false" ht="15" hidden="false" customHeight="true" outlineLevel="0" collapsed="false">
      <c r="A25" s="18"/>
      <c r="B25" s="18"/>
      <c r="C25" s="18"/>
      <c r="D25" s="18"/>
      <c r="E25" s="18"/>
      <c r="F25" s="18"/>
      <c r="G25" s="18"/>
      <c r="H25" s="18"/>
      <c r="I25" s="18"/>
    </row>
    <row r="26" customFormat="false" ht="15" hidden="false" customHeight="true" outlineLevel="0" collapsed="false">
      <c r="A26" s="8" t="s">
        <v>42</v>
      </c>
      <c r="B26" s="9"/>
      <c r="C26" s="9"/>
      <c r="D26" s="9"/>
      <c r="E26" s="9"/>
      <c r="F26" s="9"/>
      <c r="G26" s="9"/>
      <c r="H26" s="9"/>
      <c r="I26" s="9"/>
    </row>
    <row r="27" customFormat="false" ht="15" hidden="false" customHeight="true" outlineLevel="0" collapsed="false">
      <c r="A27" s="10" t="s">
        <v>43</v>
      </c>
      <c r="B27" s="18"/>
      <c r="C27" s="18"/>
      <c r="D27" s="13" t="n">
        <f aca="false">Assumptions!B11</f>
        <v>0.025</v>
      </c>
      <c r="E27" s="18"/>
      <c r="F27" s="18"/>
      <c r="G27" s="18"/>
      <c r="H27" s="18"/>
    </row>
    <row r="28" customFormat="false" ht="15" hidden="false" customHeight="true" outlineLevel="0" collapsed="false">
      <c r="A28" s="10" t="s">
        <v>79</v>
      </c>
      <c r="B28" s="18"/>
      <c r="C28" s="18"/>
      <c r="D28" s="16" t="n">
        <f aca="false">I17*(1+D27)</f>
        <v>0</v>
      </c>
      <c r="E28" s="18"/>
      <c r="F28" s="18"/>
      <c r="G28" s="18"/>
      <c r="H28" s="18"/>
    </row>
    <row r="29" customFormat="false" ht="15" hidden="false" customHeight="true" outlineLevel="0" collapsed="false">
      <c r="A29" s="10" t="s">
        <v>80</v>
      </c>
      <c r="B29" s="18"/>
      <c r="C29" s="18"/>
      <c r="D29" s="16" t="n">
        <f aca="false">D28/(D20-D27)</f>
        <v>0</v>
      </c>
      <c r="E29" s="18"/>
      <c r="F29" s="18"/>
      <c r="G29" s="18"/>
      <c r="H29" s="18"/>
    </row>
    <row r="30" customFormat="false" ht="15" hidden="false" customHeight="true" outlineLevel="0" collapsed="false">
      <c r="A30" s="10" t="s">
        <v>81</v>
      </c>
      <c r="B30" s="18"/>
      <c r="C30" s="18"/>
      <c r="D30" s="16" t="n">
        <f aca="false">D29*I22</f>
        <v>0</v>
      </c>
      <c r="E30" s="18"/>
      <c r="F30" s="18"/>
      <c r="G30" s="18"/>
      <c r="H30" s="18"/>
    </row>
    <row r="31" customFormat="false" ht="15" hidden="false" customHeight="true" outlineLevel="0" collapsed="false">
      <c r="A31" s="18"/>
      <c r="B31" s="18"/>
      <c r="C31" s="18"/>
      <c r="D31" s="18"/>
      <c r="E31" s="18"/>
      <c r="F31" s="18"/>
      <c r="G31" s="18"/>
      <c r="H31" s="18"/>
      <c r="I31" s="18"/>
    </row>
    <row r="32" customFormat="false" ht="15" hidden="false" customHeight="true" outlineLevel="0" collapsed="false">
      <c r="A32" s="8" t="s">
        <v>82</v>
      </c>
      <c r="B32" s="9"/>
      <c r="C32" s="9"/>
      <c r="D32" s="9"/>
      <c r="E32" s="9"/>
      <c r="F32" s="9"/>
      <c r="G32" s="9"/>
      <c r="H32" s="9"/>
      <c r="I32" s="9"/>
    </row>
    <row r="33" customFormat="false" ht="15" hidden="false" customHeight="true" outlineLevel="0" collapsed="false">
      <c r="A33" s="10" t="s">
        <v>83</v>
      </c>
      <c r="B33" s="18"/>
      <c r="C33" s="18"/>
      <c r="D33" s="16" t="n">
        <f aca="false">D24</f>
        <v>18399.542551139</v>
      </c>
      <c r="E33" s="18"/>
      <c r="F33" s="18"/>
      <c r="G33" s="18"/>
      <c r="H33" s="18"/>
    </row>
    <row r="34" customFormat="false" ht="15" hidden="false" customHeight="true" outlineLevel="0" collapsed="false">
      <c r="A34" s="10" t="s">
        <v>81</v>
      </c>
      <c r="B34" s="18"/>
      <c r="C34" s="18"/>
      <c r="D34" s="16" t="n">
        <f aca="false">D30</f>
        <v>0</v>
      </c>
      <c r="E34" s="18"/>
      <c r="F34" s="18"/>
      <c r="G34" s="18"/>
      <c r="H34" s="18"/>
    </row>
    <row r="35" customFormat="false" ht="15" hidden="false" customHeight="true" outlineLevel="0" collapsed="false">
      <c r="A35" s="10" t="s">
        <v>84</v>
      </c>
      <c r="B35" s="18"/>
      <c r="C35" s="18"/>
      <c r="D35" s="16" t="n">
        <f aca="false">D33+D34</f>
        <v>18399.542551139</v>
      </c>
      <c r="E35" s="18"/>
      <c r="F35" s="18"/>
      <c r="G35" s="18"/>
      <c r="H35" s="18"/>
    </row>
    <row r="36" customFormat="false" ht="15" hidden="false" customHeight="true" outlineLevel="0" collapsed="false">
      <c r="A36" s="10" t="s">
        <v>85</v>
      </c>
      <c r="B36" s="18"/>
      <c r="C36" s="18"/>
      <c r="D36" s="17" t="n">
        <v>7300</v>
      </c>
      <c r="E36" s="18"/>
      <c r="F36" s="18"/>
      <c r="G36" s="18"/>
      <c r="H36" s="18"/>
    </row>
    <row r="37" customFormat="false" ht="15" hidden="false" customHeight="true" outlineLevel="0" collapsed="false">
      <c r="A37" s="10" t="s">
        <v>86</v>
      </c>
      <c r="B37" s="18"/>
      <c r="C37" s="18"/>
      <c r="D37" s="16" t="n">
        <f aca="false">D35+D36</f>
        <v>25699.542551139</v>
      </c>
      <c r="E37" s="18"/>
      <c r="F37" s="18"/>
      <c r="G37" s="18"/>
      <c r="H37" s="18"/>
    </row>
    <row r="38" customFormat="false" ht="15" hidden="false" customHeight="true" outlineLevel="0" collapsed="false">
      <c r="A38" s="10" t="s">
        <v>49</v>
      </c>
      <c r="B38" s="18"/>
      <c r="C38" s="18"/>
      <c r="D38" s="23" t="n">
        <f aca="false">Assumptions!B15</f>
        <v>272</v>
      </c>
      <c r="E38" s="18"/>
      <c r="F38" s="18"/>
      <c r="G38" s="18"/>
      <c r="H38" s="18"/>
    </row>
    <row r="39" customFormat="false" ht="15" hidden="false" customHeight="true" outlineLevel="0" collapsed="false">
      <c r="A39" s="10" t="s">
        <v>87</v>
      </c>
      <c r="B39" s="18"/>
      <c r="C39" s="18"/>
      <c r="D39" s="24" t="n">
        <f aca="false">D37/D38</f>
        <v>94.4836123203639</v>
      </c>
      <c r="E39" s="18"/>
      <c r="F39" s="18"/>
      <c r="G39" s="18"/>
      <c r="H39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2"/>
  </cols>
  <sheetData>
    <row r="1" customFormat="false" ht="15" hidden="false" customHeight="true" outlineLevel="0" collapsed="false">
      <c r="A1" s="7" t="s">
        <v>88</v>
      </c>
      <c r="B1" s="7" t="s">
        <v>89</v>
      </c>
      <c r="C1" s="7" t="s">
        <v>90</v>
      </c>
      <c r="D1" s="7" t="s">
        <v>25</v>
      </c>
      <c r="E1" s="7" t="s">
        <v>91</v>
      </c>
      <c r="F1" s="7" t="s">
        <v>92</v>
      </c>
    </row>
    <row r="2" customFormat="false" ht="15" hidden="false" customHeight="true" outlineLevel="0" collapsed="false">
      <c r="A2" s="7" t="s">
        <v>93</v>
      </c>
      <c r="B2" s="25" t="n">
        <v>467</v>
      </c>
      <c r="C2" s="25" t="n">
        <v>488</v>
      </c>
      <c r="D2" s="25" t="n">
        <v>513</v>
      </c>
      <c r="E2" s="25" t="n">
        <v>541</v>
      </c>
      <c r="F2" s="25" t="n">
        <v>574</v>
      </c>
    </row>
    <row r="3" customFormat="false" ht="15" hidden="false" customHeight="true" outlineLevel="0" collapsed="false">
      <c r="A3" s="7" t="s">
        <v>94</v>
      </c>
      <c r="B3" s="25" t="n">
        <v>444</v>
      </c>
      <c r="C3" s="25" t="n">
        <v>462</v>
      </c>
      <c r="D3" s="25" t="n">
        <v>483</v>
      </c>
      <c r="E3" s="25" t="n">
        <v>507</v>
      </c>
      <c r="F3" s="25" t="n">
        <v>535</v>
      </c>
    </row>
    <row r="4" customFormat="false" ht="15" hidden="false" customHeight="true" outlineLevel="0" collapsed="false">
      <c r="A4" s="7" t="s">
        <v>95</v>
      </c>
      <c r="B4" s="25" t="n">
        <v>424</v>
      </c>
      <c r="C4" s="25" t="n">
        <v>440</v>
      </c>
      <c r="D4" s="25" t="n">
        <v>457</v>
      </c>
      <c r="E4" s="25" t="n">
        <v>478</v>
      </c>
      <c r="F4" s="25" t="n">
        <v>501</v>
      </c>
    </row>
    <row r="5" customFormat="false" ht="15" hidden="false" customHeight="true" outlineLevel="0" collapsed="false">
      <c r="A5" s="7" t="s">
        <v>23</v>
      </c>
      <c r="B5" s="25" t="n">
        <v>406</v>
      </c>
      <c r="C5" s="25" t="n">
        <v>420</v>
      </c>
      <c r="D5" s="25" t="n">
        <v>435</v>
      </c>
      <c r="E5" s="25" t="n">
        <v>453</v>
      </c>
      <c r="F5" s="25" t="n">
        <v>473</v>
      </c>
    </row>
    <row r="6" customFormat="false" ht="15" hidden="false" customHeight="true" outlineLevel="0" collapsed="false">
      <c r="A6" s="7" t="s">
        <v>96</v>
      </c>
      <c r="B6" s="25" t="n">
        <v>390</v>
      </c>
      <c r="C6" s="25" t="n">
        <v>402</v>
      </c>
      <c r="D6" s="25" t="n">
        <v>416</v>
      </c>
      <c r="E6" s="25" t="n">
        <v>431</v>
      </c>
      <c r="F6" s="25" t="n">
        <v>448</v>
      </c>
    </row>
    <row r="9" customFormat="false" ht="15" hidden="false" customHeight="true" outlineLevel="0" collapsed="false">
      <c r="A9" s="6" t="s">
        <v>97</v>
      </c>
    </row>
    <row r="10" customFormat="false" ht="15" hidden="false" customHeight="true" outlineLevel="0" collapsed="false">
      <c r="A10" s="6" t="s">
        <v>98</v>
      </c>
    </row>
    <row r="11" customFormat="false" ht="15" hidden="false" customHeight="true" outlineLevel="0" collapsed="false">
      <c r="A11" s="6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4" min="3" style="1" width="30"/>
  </cols>
  <sheetData>
    <row r="1" customFormat="false" ht="15" hidden="false" customHeight="true" outlineLevel="0" collapsed="false">
      <c r="A1" s="7" t="s">
        <v>100</v>
      </c>
      <c r="B1" s="7" t="s">
        <v>101</v>
      </c>
      <c r="C1" s="7" t="s">
        <v>102</v>
      </c>
      <c r="D1" s="7" t="s">
        <v>103</v>
      </c>
    </row>
    <row r="2" customFormat="false" ht="15" hidden="false" customHeight="true" outlineLevel="0" collapsed="false">
      <c r="A2" s="26" t="s">
        <v>2</v>
      </c>
      <c r="B2" s="26" t="s">
        <v>104</v>
      </c>
      <c r="C2" s="26" t="s">
        <v>105</v>
      </c>
      <c r="D2" s="26" t="s">
        <v>106</v>
      </c>
    </row>
    <row r="3" customFormat="false" ht="15" hidden="false" customHeight="true" outlineLevel="0" collapsed="false">
      <c r="A3" s="26" t="s">
        <v>4</v>
      </c>
      <c r="B3" s="26" t="s">
        <v>107</v>
      </c>
      <c r="C3" s="26" t="s">
        <v>5</v>
      </c>
      <c r="D3" s="26" t="s">
        <v>108</v>
      </c>
    </row>
    <row r="4" customFormat="false" ht="15" hidden="false" customHeight="true" outlineLevel="0" collapsed="false">
      <c r="A4" s="26" t="s">
        <v>22</v>
      </c>
      <c r="B4" s="26" t="s">
        <v>109</v>
      </c>
      <c r="C4" s="26" t="s">
        <v>23</v>
      </c>
      <c r="D4" s="26" t="s">
        <v>110</v>
      </c>
    </row>
    <row r="5" customFormat="false" ht="15" hidden="false" customHeight="true" outlineLevel="0" collapsed="false">
      <c r="A5" s="26" t="s">
        <v>111</v>
      </c>
      <c r="B5" s="26" t="s">
        <v>112</v>
      </c>
      <c r="C5" s="26" t="s">
        <v>113</v>
      </c>
      <c r="D5" s="26" t="s">
        <v>114</v>
      </c>
    </row>
    <row r="6" customFormat="false" ht="15" hidden="false" customHeight="true" outlineLevel="0" collapsed="false">
      <c r="A6" s="26" t="s">
        <v>115</v>
      </c>
      <c r="B6" s="26" t="s">
        <v>116</v>
      </c>
      <c r="C6" s="26" t="s">
        <v>116</v>
      </c>
      <c r="D6" s="26" t="s">
        <v>117</v>
      </c>
    </row>
    <row r="7" customFormat="false" ht="15" hidden="false" customHeight="true" outlineLevel="0" collapsed="false">
      <c r="A7" s="26" t="s">
        <v>118</v>
      </c>
      <c r="B7" s="26" t="s">
        <v>119</v>
      </c>
      <c r="C7" s="26" t="s">
        <v>120</v>
      </c>
      <c r="D7" s="26" t="s">
        <v>121</v>
      </c>
    </row>
    <row r="8" customFormat="false" ht="15" hidden="false" customHeight="true" outlineLevel="0" collapsed="false">
      <c r="A8" s="26" t="s">
        <v>122</v>
      </c>
      <c r="B8" s="26" t="s">
        <v>123</v>
      </c>
      <c r="C8" s="26" t="s">
        <v>124</v>
      </c>
      <c r="D8" s="26" t="s">
        <v>125</v>
      </c>
    </row>
    <row r="9" customFormat="false" ht="15" hidden="false" customHeight="true" outlineLevel="0" collapsed="false">
      <c r="A9" s="26" t="s">
        <v>126</v>
      </c>
      <c r="B9" s="26" t="s">
        <v>127</v>
      </c>
      <c r="C9" s="26" t="s">
        <v>128</v>
      </c>
      <c r="D9" s="26" t="s">
        <v>129</v>
      </c>
    </row>
    <row r="10" customFormat="false" ht="15" hidden="false" customHeight="true" outlineLevel="0" collapsed="false">
      <c r="A10" s="26" t="s">
        <v>130</v>
      </c>
      <c r="B10" s="26" t="s">
        <v>131</v>
      </c>
      <c r="C10" s="26" t="s">
        <v>132</v>
      </c>
      <c r="D10" s="26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2026-06-03T22:08:31Z</dcterms:created>
  <dc:creator>openpyxl</dc:creator>
  <dc:description/>
  <dc:language>en-US</dc:language>
  <cp:lastModifiedBy/>
  <dcterms:modified xsi:type="dcterms:W3CDTF">2026-06-03T22:08:53Z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