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Estimates Tracker" sheetId="2" state="visible" r:id="rId4"/>
    <sheet name="Ratings &amp; PT Detail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<sst xmlns="http://schemas.openxmlformats.org/spreadsheetml/2006/main" count="170" uniqueCount="106">
  <si>
    <t xml:space="preserve">UPSTEAM AI EQUITY RESEARCH  —  Estimates &amp; Consensus Tracker</t>
  </si>
  <si>
    <t xml:space="preserve">Top 10 High-Conviction Buys  |  As of June 4, 2026  |  Live prices from Bigdata.com</t>
  </si>
  <si>
    <t xml:space="preserve">Ticker</t>
  </si>
  <si>
    <t xml:space="preserve">Sector</t>
  </si>
  <si>
    <t xml:space="preserve">Live Price</t>
  </si>
  <si>
    <t xml:space="preserve">Our PT</t>
  </si>
  <si>
    <t xml:space="preserve">↑ to Our PT</t>
  </si>
  <si>
    <t xml:space="preserve">Cons PT (Mean)</t>
  </si>
  <si>
    <t xml:space="preserve">↑ to Cons PT</t>
  </si>
  <si>
    <t xml:space="preserve">PT High</t>
  </si>
  <si>
    <t xml:space="preserve">PT Low</t>
  </si>
  <si>
    <t xml:space="preserve">PT vs Cons</t>
  </si>
  <si>
    <t xml:space="preserve">Buy</t>
  </si>
  <si>
    <t xml:space="preserve">Hold</t>
  </si>
  <si>
    <t xml:space="preserve">Sell</t>
  </si>
  <si>
    <t xml:space="preserve">Mkt Cap ($B)</t>
  </si>
  <si>
    <t xml:space="preserve">EBITDA Mrgn</t>
  </si>
  <si>
    <t xml:space="preserve">Gross Mrgn</t>
  </si>
  <si>
    <t xml:space="preserve">Latest Q EPS</t>
  </si>
  <si>
    <t xml:space="preserve">Latest Q Rev ($M)</t>
  </si>
  <si>
    <t xml:space="preserve">Next Earnings</t>
  </si>
  <si>
    <t xml:space="preserve">Thesis Note</t>
  </si>
  <si>
    <t xml:space="preserve">GEV</t>
  </si>
  <si>
    <t xml:space="preserve">Power-Gen-Grid</t>
  </si>
  <si>
    <t xml:space="preserve">2026-07-22</t>
  </si>
  <si>
    <t xml:space="preserve">Oligopoly gas turbine; backlog 100GW</t>
  </si>
  <si>
    <t xml:space="preserve">ANET</t>
  </si>
  <si>
    <t xml:space="preserve">AI-Networking</t>
  </si>
  <si>
    <t xml:space="preserve">2026-07-29</t>
  </si>
  <si>
    <t xml:space="preserve">AI Ethernet dominant; $11.5B rev guide</t>
  </si>
  <si>
    <t xml:space="preserve">NRG</t>
  </si>
  <si>
    <t xml:space="preserve">—</t>
  </si>
  <si>
    <t xml:space="preserve">2026-08-07</t>
  </si>
  <si>
    <t xml:space="preserve">BYOP; 5.4GW GEV/Kiewit pipeline</t>
  </si>
  <si>
    <t xml:space="preserve">CEG</t>
  </si>
  <si>
    <t xml:space="preserve">Largest nuclear fleet; Calpine FCF</t>
  </si>
  <si>
    <t xml:space="preserve">CCJ</t>
  </si>
  <si>
    <t xml:space="preserve">Critical-Minerals</t>
  </si>
  <si>
    <t xml:space="preserve">2026-08-06</t>
  </si>
  <si>
    <t xml:space="preserve">Uranium renaissance; Westinghouse JV</t>
  </si>
  <si>
    <t xml:space="preserve">AVGO</t>
  </si>
  <si>
    <t xml:space="preserve">~2026-09-04</t>
  </si>
  <si>
    <t xml:space="preserve">Custom AI silicon (Google/Meta/Apple)</t>
  </si>
  <si>
    <t xml:space="preserve">MRVL</t>
  </si>
  <si>
    <t xml:space="preserve">2026-08-27</t>
  </si>
  <si>
    <t xml:space="preserve">Amazon Trainium + Microsoft Maia</t>
  </si>
  <si>
    <t xml:space="preserve">VRT</t>
  </si>
  <si>
    <t xml:space="preserve">Cooling-Thermal</t>
  </si>
  <si>
    <t xml:space="preserve">~2026-07-28</t>
  </si>
  <si>
    <t xml:space="preserve">AI cooling bellwether; +195% YoY</t>
  </si>
  <si>
    <t xml:space="preserve">BE</t>
  </si>
  <si>
    <t xml:space="preserve">Oracle 2.8GW; Nebius $2.6B; Aschenbrenner #1</t>
  </si>
  <si>
    <t xml:space="preserve">VST</t>
  </si>
  <si>
    <t xml:space="preserve">Meta 2.6GW + AWS 1.2GW 20yr PPAs</t>
  </si>
  <si>
    <t xml:space="preserve">Color key:  Blue text = Our price target (hardcoded input)  |  Green = upside &gt;20%  |  Red sell count = analyst has sell rating  |  PT vs Cons: how much our PT differs from Street consensus mean</t>
  </si>
  <si>
    <t xml:space="preserve">Source: Bigdata.com (bigdata.com) — consensus data as of June 4, 2026. Live prices from Bigdata.com API. Our PTs from vault as of 2026-06-03.</t>
  </si>
  <si>
    <t xml:space="preserve">UPSTEAM AI EQUITY RESEARCH  —  Estimates vs. Street Consensus</t>
  </si>
  <si>
    <t xml:space="preserve">Top 10 Buys  |  June 4, 2026  |  Yellow cells = Enter YOUR estimates  |  Black = formulas  |  Blue = hardcoded inputs from Street data</t>
  </si>
  <si>
    <t xml:space="preserve">CURRENT</t>
  </si>
  <si>
    <t xml:space="preserve">Q2 2026E</t>
  </si>
  <si>
    <t xml:space="preserve">Q3 2026E</t>
  </si>
  <si>
    <t xml:space="preserve">Q4 2026E</t>
  </si>
  <si>
    <t xml:space="preserve">FY 2026E</t>
  </si>
  <si>
    <t xml:space="preserve">FY 2027E</t>
  </si>
  <si>
    <t xml:space="preserve">CONVICTION</t>
  </si>
  <si>
    <t xml:space="preserve">Price</t>
  </si>
  <si>
    <t xml:space="preserve">Rev ($M)
Ours</t>
  </si>
  <si>
    <t xml:space="preserve">EPS
Ours</t>
  </si>
  <si>
    <t xml:space="preserve">Rev ($M)
Street</t>
  </si>
  <si>
    <t xml:space="preserve">Cons PT</t>
  </si>
  <si>
    <t xml:space="preserve">∆ Ours vs
Cons PT</t>
  </si>
  <si>
    <t xml:space="preserve">HOW TO USE THIS TRACKER</t>
  </si>
  <si>
    <t xml:space="preserve">  YELLOW cells:  Enter your own revenue ($M) and EPS estimates for each period. These are the 'Ours' columns.</t>
  </si>
  <si>
    <t xml:space="preserve">  BLUE cells:  Street consensus data hardcoded from Bigdata.com as of June 4, 2026. Update quarterly after each earnings season.</t>
  </si>
  <si>
    <t xml:space="preserve">  BLACK cells:  Excel formulas — do not edit. The Delta column calculates automatically.</t>
  </si>
  <si>
    <t xml:space="preserve">  Quarterly:  Fill Q2/Q3/Q4 2026 as quarters report. Pre-earnings: fill your estimate before the print, then add actuals after.</t>
  </si>
  <si>
    <t xml:space="preserve">  FY Revenue:  For FY columns, Street Rev is left blank — fill from FactSet/Bloomberg consensus screen each quarter.</t>
  </si>
  <si>
    <t xml:space="preserve">  Beat/Miss:  Add a column to the right after each quarter: Actual - Our Est and Actual - Street Est to track forecast accuracy.</t>
  </si>
  <si>
    <t xml:space="preserve">Source: Bigdata.com (bigdata.com) — consensus price targets as of June 4, 2026. Color coding: Blue = hardcoded input, Black = formula, Yellow = user input. See SKILL.md color conventions.</t>
  </si>
  <si>
    <t xml:space="preserve">ANALYST RATINGS &amp; PRICE TARGET DETAIL  —  Top 10 Buys</t>
  </si>
  <si>
    <t xml:space="preserve">Source: Bigdata.com  |  As of June 4, 2026  |  Consensus data powered by Bigdata.com (bigdata.com)</t>
  </si>
  <si>
    <t xml:space="preserve">Company</t>
  </si>
  <si>
    <t xml:space="preserve">Cons Mean</t>
  </si>
  <si>
    <t xml:space="preserve">Cons Median</t>
  </si>
  <si>
    <t xml:space="preserve">Coverage Score</t>
  </si>
  <si>
    <t xml:space="preserve">GE Vernova</t>
  </si>
  <si>
    <t xml:space="preserve">75% Buy  (28 analysts)</t>
  </si>
  <si>
    <t xml:space="preserve">Arista Networks</t>
  </si>
  <si>
    <t xml:space="preserve">75% Buy  (52 analysts)</t>
  </si>
  <si>
    <t xml:space="preserve">NRG Energy</t>
  </si>
  <si>
    <t xml:space="preserve">65% Buy  (26 analysts)</t>
  </si>
  <si>
    <t xml:space="preserve">Constellation Energy</t>
  </si>
  <si>
    <t xml:space="preserve">75% Buy  (20 analysts)</t>
  </si>
  <si>
    <t xml:space="preserve">Cameco Corp.</t>
  </si>
  <si>
    <t xml:space="preserve">68% Buy  (19 analysts)</t>
  </si>
  <si>
    <t xml:space="preserve">Broadcom Inc.</t>
  </si>
  <si>
    <t xml:space="preserve">88% Buy  (58 analysts)</t>
  </si>
  <si>
    <t xml:space="preserve">Marvell Technology</t>
  </si>
  <si>
    <t xml:space="preserve">82% Buy  (73 analysts)</t>
  </si>
  <si>
    <t xml:space="preserve">Vertiv Holdings</t>
  </si>
  <si>
    <t xml:space="preserve">95% Buy  (19 analysts)</t>
  </si>
  <si>
    <t xml:space="preserve">Bloom Energy</t>
  </si>
  <si>
    <t xml:space="preserve">52% Buy  (31 analysts)</t>
  </si>
  <si>
    <t xml:space="preserve">Vistra Corp.</t>
  </si>
  <si>
    <t xml:space="preserve">91% Buy  (22 analysts)</t>
  </si>
  <si>
    <t xml:space="preserve">Powered by Bigdata.com — https://bigdata.com  |  Data as of June 4, 2026  |  Not investment advice. For informational purposes only.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</si>
</sst>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0"/>
    <numFmt numFmtId="166" formatCode="0.0%"/>
    <numFmt numFmtId="167" formatCode="\$#,##0;&quot;($&quot;#,##0\);\-"/>
    <numFmt numFmtId="168" formatCode="#,##0.0"/>
    <numFmt numFmtId="169" formatCode="@"/>
    <numFmt numFmtId="170" formatCode="0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2E75B6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1E7145"/>
      <name val="Arial"/>
      <family val="0"/>
      <charset val="1"/>
    </font>
    <font>
      <sz val="10"/>
      <color rgb="FF1E7145"/>
      <name val="Arial"/>
      <family val="0"/>
      <charset val="1"/>
    </font>
    <font>
      <sz val="9"/>
      <color rgb="FF000000"/>
      <name val="Arial"/>
      <family val="0"/>
      <charset val="1"/>
    </font>
    <font>
      <sz val="10"/>
      <color rgb="FFC00000"/>
      <name val="Arial"/>
      <family val="0"/>
      <charset val="1"/>
    </font>
    <font>
      <i val="true"/>
      <sz val="8"/>
      <color rgb="FF666666"/>
      <name val="Arial"/>
      <family val="0"/>
      <charset val="1"/>
    </font>
    <font>
      <i val="true"/>
      <sz val="8"/>
      <color rgb="FF888888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i val="true"/>
      <sz val="9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000099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9"/>
      <color rgb="FF333333"/>
      <name val="Arial"/>
      <family val="0"/>
      <charset val="1"/>
    </font>
    <font>
      <sz val="10"/>
      <color rgb="FF0000AA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i val="true"/>
      <sz val="9"/>
      <color rgb="FF2E75B6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BF8F0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6E4F0"/>
        <bgColor rgb="FFE2EFDA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2E75B6"/>
        <bgColor rgb="FF4472C4"/>
      </patternFill>
    </fill>
    <fill>
      <patternFill patternType="solid">
        <fgColor rgb="FF404040"/>
        <bgColor rgb="FF333333"/>
      </patternFill>
    </fill>
    <fill>
      <patternFill patternType="solid">
        <fgColor rgb="FFFFFF00"/>
        <bgColor rgb="FFFFFF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 style="thin">
        <color rgb="FF4472C4"/>
      </right>
      <top/>
      <bottom style="medium">
        <color rgb="FFFFFFFF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medium">
        <color rgb="FFFFFFFF"/>
      </left>
      <right/>
      <top/>
      <bottom style="thin">
        <color rgb="FFAAAAAA"/>
      </bottom>
      <diagonal/>
    </border>
    <border diagonalUp="false" diagonalDown="false">
      <left style="thin">
        <color rgb="FFAAAAAA"/>
      </left>
      <right style="thin">
        <color rgb="FFAAAAAA"/>
      </right>
      <top/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8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22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2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3" fillId="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3" fillId="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8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6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99"/>
      <rgbColor rgb="FF808000"/>
      <rgbColor rgb="FF800080"/>
      <rgbColor rgb="FF1E7145"/>
      <rgbColor rgb="FFCCCCCC"/>
      <rgbColor rgb="FF888888"/>
      <rgbColor rgb="FF9999FF"/>
      <rgbColor rgb="FF993366"/>
      <rgbColor rgb="FFF2F2F2"/>
      <rgbColor rgb="FFCCFFFF"/>
      <rgbColor rgb="FF660066"/>
      <rgbColor rgb="FFFF8080"/>
      <rgbColor rgb="FF2E75B6"/>
      <rgbColor rgb="FFD6E4F0"/>
      <rgbColor rgb="FF0000AA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BF8F00"/>
      <rgbColor rgb="FFFF6600"/>
      <rgbColor rgb="FF666666"/>
      <rgbColor rgb="FFAAAAAA"/>
      <rgbColor rgb="FF1F3864"/>
      <rgbColor rgb="FF339966"/>
      <rgbColor rgb="FF003300"/>
      <rgbColor rgb="FF40404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4" min="3" style="0" width="10"/>
    <col collapsed="false" customWidth="true" hidden="false" outlineLevel="0" max="7" min="5" style="0" width="12"/>
    <col collapsed="false" customWidth="true" hidden="false" outlineLevel="0" max="9" min="8" style="0" width="9"/>
    <col collapsed="false" customWidth="true" hidden="false" outlineLevel="0" max="10" min="10" style="0" width="8"/>
    <col collapsed="false" customWidth="true" hidden="false" outlineLevel="0" max="13" min="11" style="0" width="9"/>
    <col collapsed="false" customWidth="true" hidden="false" outlineLevel="0" max="17" min="14" style="0" width="12"/>
    <col collapsed="false" customWidth="true" hidden="false" outlineLevel="0" max="19" min="18" style="0" width="14"/>
    <col collapsed="false" customWidth="true" hidden="false" outlineLevel="0" max="20" min="20" style="0" width="30"/>
  </cols>
  <sheetData>
    <row r="1" customFormat="false" ht="36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39.75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15</v>
      </c>
      <c r="O3" s="3" t="s">
        <v>16</v>
      </c>
      <c r="P3" s="3" t="s">
        <v>17</v>
      </c>
      <c r="Q3" s="3" t="s">
        <v>18</v>
      </c>
      <c r="R3" s="3" t="s">
        <v>19</v>
      </c>
      <c r="S3" s="3" t="s">
        <v>20</v>
      </c>
      <c r="T3" s="3" t="s">
        <v>21</v>
      </c>
    </row>
    <row r="4" customFormat="false" ht="21.75" hidden="false" customHeight="true" outlineLevel="0" collapsed="false">
      <c r="A4" s="4" t="s">
        <v>22</v>
      </c>
      <c r="B4" s="5" t="s">
        <v>23</v>
      </c>
      <c r="C4" s="6" t="n">
        <v>951.66</v>
      </c>
      <c r="D4" s="7" t="n">
        <v>1200</v>
      </c>
      <c r="E4" s="8" t="n">
        <v>0.26095454258874</v>
      </c>
      <c r="F4" s="6" t="n">
        <v>1119.95</v>
      </c>
      <c r="G4" s="9" t="n">
        <v>0.176838366643549</v>
      </c>
      <c r="H4" s="6" t="n">
        <v>1400</v>
      </c>
      <c r="I4" s="6" t="n">
        <v>714</v>
      </c>
      <c r="J4" s="10" t="n">
        <v>80.05</v>
      </c>
      <c r="K4" s="11" t="n">
        <v>21</v>
      </c>
      <c r="L4" s="11" t="n">
        <v>7</v>
      </c>
      <c r="M4" s="11" t="n">
        <v>0</v>
      </c>
      <c r="N4" s="12" t="n">
        <v>255.7</v>
      </c>
      <c r="O4" s="13" t="n">
        <v>0.0844</v>
      </c>
      <c r="P4" s="13" t="n">
        <v>0.1993</v>
      </c>
      <c r="Q4" s="6" t="n">
        <v>1.98</v>
      </c>
      <c r="R4" s="12" t="n">
        <v>9339</v>
      </c>
      <c r="S4" s="5" t="s">
        <v>24</v>
      </c>
      <c r="T4" s="14" t="s">
        <v>25</v>
      </c>
    </row>
    <row r="5" customFormat="false" ht="21.75" hidden="false" customHeight="true" outlineLevel="0" collapsed="false">
      <c r="A5" s="4" t="s">
        <v>26</v>
      </c>
      <c r="B5" s="15" t="s">
        <v>27</v>
      </c>
      <c r="C5" s="16" t="n">
        <v>164.9</v>
      </c>
      <c r="D5" s="17" t="n">
        <v>185</v>
      </c>
      <c r="E5" s="18" t="n">
        <v>0.121892055791389</v>
      </c>
      <c r="F5" s="16" t="n">
        <v>183.3</v>
      </c>
      <c r="G5" s="19" t="n">
        <v>0.111582777440873</v>
      </c>
      <c r="H5" s="16" t="n">
        <v>200</v>
      </c>
      <c r="I5" s="16" t="n">
        <v>164</v>
      </c>
      <c r="J5" s="20" t="n">
        <v>1.69999999999999</v>
      </c>
      <c r="K5" s="21" t="n">
        <v>39</v>
      </c>
      <c r="L5" s="21" t="n">
        <v>13</v>
      </c>
      <c r="M5" s="21" t="n">
        <v>0</v>
      </c>
      <c r="N5" s="22" t="n">
        <v>207.6</v>
      </c>
      <c r="O5" s="23" t="n">
        <v>0.434</v>
      </c>
      <c r="P5" s="23" t="n">
        <v>0.6354</v>
      </c>
      <c r="Q5" s="16" t="n">
        <v>0.87</v>
      </c>
      <c r="R5" s="22" t="n">
        <v>2709</v>
      </c>
      <c r="S5" s="15" t="s">
        <v>28</v>
      </c>
      <c r="T5" s="24" t="s">
        <v>29</v>
      </c>
    </row>
    <row r="6" customFormat="false" ht="21.75" hidden="false" customHeight="true" outlineLevel="0" collapsed="false">
      <c r="A6" s="4" t="s">
        <v>30</v>
      </c>
      <c r="B6" s="5" t="s">
        <v>23</v>
      </c>
      <c r="C6" s="6" t="n">
        <v>132.05</v>
      </c>
      <c r="D6" s="7" t="n">
        <v>185</v>
      </c>
      <c r="E6" s="8" t="n">
        <v>0.400984475577433</v>
      </c>
      <c r="F6" s="6" t="n">
        <v>194.5</v>
      </c>
      <c r="G6" s="9" t="n">
        <v>0.472926921620598</v>
      </c>
      <c r="H6" s="6" t="n">
        <v>211</v>
      </c>
      <c r="I6" s="6" t="n">
        <v>162</v>
      </c>
      <c r="J6" s="25" t="n">
        <v>-9.5</v>
      </c>
      <c r="K6" s="11" t="n">
        <v>17</v>
      </c>
      <c r="L6" s="11" t="n">
        <v>7</v>
      </c>
      <c r="M6" s="26" t="n">
        <v>2</v>
      </c>
      <c r="N6" s="12" t="n">
        <v>27.9</v>
      </c>
      <c r="O6" s="13" t="n">
        <v>0.0935</v>
      </c>
      <c r="P6" s="13" t="n">
        <v>0.1707</v>
      </c>
      <c r="Q6" s="27" t="s">
        <v>31</v>
      </c>
      <c r="R6" s="27" t="s">
        <v>31</v>
      </c>
      <c r="S6" s="5" t="s">
        <v>32</v>
      </c>
      <c r="T6" s="14" t="s">
        <v>33</v>
      </c>
    </row>
    <row r="7" customFormat="false" ht="21.75" hidden="false" customHeight="true" outlineLevel="0" collapsed="false">
      <c r="A7" s="4" t="s">
        <v>34</v>
      </c>
      <c r="B7" s="15" t="s">
        <v>23</v>
      </c>
      <c r="C7" s="16" t="n">
        <v>262.66</v>
      </c>
      <c r="D7" s="17" t="n">
        <v>385</v>
      </c>
      <c r="E7" s="8" t="n">
        <v>0.46577324297571</v>
      </c>
      <c r="F7" s="16" t="n">
        <v>391.43</v>
      </c>
      <c r="G7" s="19" t="n">
        <v>0.490253559735019</v>
      </c>
      <c r="H7" s="16" t="n">
        <v>460</v>
      </c>
      <c r="I7" s="16" t="n">
        <v>310</v>
      </c>
      <c r="J7" s="28" t="n">
        <v>-6.43000000000001</v>
      </c>
      <c r="K7" s="21" t="n">
        <v>15</v>
      </c>
      <c r="L7" s="21" t="n">
        <v>5</v>
      </c>
      <c r="M7" s="21" t="n">
        <v>0</v>
      </c>
      <c r="N7" s="22" t="n">
        <v>94.9</v>
      </c>
      <c r="O7" s="23" t="n">
        <v>0.236</v>
      </c>
      <c r="P7" s="23" t="n">
        <v>0.7792</v>
      </c>
      <c r="Q7" s="29" t="s">
        <v>31</v>
      </c>
      <c r="R7" s="29" t="s">
        <v>31</v>
      </c>
      <c r="S7" s="15" t="s">
        <v>32</v>
      </c>
      <c r="T7" s="24" t="s">
        <v>35</v>
      </c>
    </row>
    <row r="8" customFormat="false" ht="21.75" hidden="false" customHeight="true" outlineLevel="0" collapsed="false">
      <c r="A8" s="4" t="s">
        <v>36</v>
      </c>
      <c r="B8" s="5" t="s">
        <v>37</v>
      </c>
      <c r="C8" s="6" t="n">
        <v>113.94</v>
      </c>
      <c r="D8" s="7" t="n">
        <v>140</v>
      </c>
      <c r="E8" s="8" t="n">
        <v>0.228716868527295</v>
      </c>
      <c r="F8" s="6" t="n">
        <v>140.25</v>
      </c>
      <c r="G8" s="9" t="n">
        <v>0.230911005792522</v>
      </c>
      <c r="H8" s="6" t="n">
        <v>175</v>
      </c>
      <c r="I8" s="6" t="n">
        <v>108</v>
      </c>
      <c r="J8" s="25" t="n">
        <v>-0.25</v>
      </c>
      <c r="K8" s="11" t="n">
        <v>13</v>
      </c>
      <c r="L8" s="11" t="n">
        <v>4</v>
      </c>
      <c r="M8" s="26" t="n">
        <v>2</v>
      </c>
      <c r="N8" s="12" t="n">
        <v>49.6</v>
      </c>
      <c r="O8" s="13" t="n">
        <v>0.2314</v>
      </c>
      <c r="P8" s="13" t="n">
        <v>0.3195</v>
      </c>
      <c r="Q8" s="6" t="n">
        <v>0.34</v>
      </c>
      <c r="R8" s="12" t="n">
        <v>607.5</v>
      </c>
      <c r="S8" s="5" t="s">
        <v>38</v>
      </c>
      <c r="T8" s="14" t="s">
        <v>39</v>
      </c>
    </row>
    <row r="9" customFormat="false" ht="21.75" hidden="false" customHeight="true" outlineLevel="0" collapsed="false">
      <c r="A9" s="4" t="s">
        <v>40</v>
      </c>
      <c r="B9" s="15" t="s">
        <v>27</v>
      </c>
      <c r="C9" s="16" t="n">
        <v>413.9</v>
      </c>
      <c r="D9" s="17" t="n">
        <v>560</v>
      </c>
      <c r="E9" s="8" t="n">
        <v>0.3529838125151</v>
      </c>
      <c r="F9" s="16" t="n">
        <v>489.8</v>
      </c>
      <c r="G9" s="19" t="n">
        <v>0.183377627446243</v>
      </c>
      <c r="H9" s="16" t="n">
        <v>582</v>
      </c>
      <c r="I9" s="16" t="n">
        <v>400</v>
      </c>
      <c r="J9" s="30" t="n">
        <v>70.2</v>
      </c>
      <c r="K9" s="21" t="n">
        <v>51</v>
      </c>
      <c r="L9" s="21" t="n">
        <v>7</v>
      </c>
      <c r="M9" s="21" t="n">
        <v>0</v>
      </c>
      <c r="N9" s="22" t="n">
        <v>1959.7</v>
      </c>
      <c r="O9" s="23" t="n">
        <v>0.57</v>
      </c>
      <c r="P9" s="23" t="n">
        <v>0.6709</v>
      </c>
      <c r="Q9" s="16" t="n">
        <v>2.44</v>
      </c>
      <c r="R9" s="22" t="n">
        <v>22187</v>
      </c>
      <c r="S9" s="15" t="s">
        <v>41</v>
      </c>
      <c r="T9" s="24" t="s">
        <v>42</v>
      </c>
    </row>
    <row r="10" customFormat="false" ht="21.75" hidden="false" customHeight="true" outlineLevel="0" collapsed="false">
      <c r="A10" s="4" t="s">
        <v>43</v>
      </c>
      <c r="B10" s="5" t="s">
        <v>27</v>
      </c>
      <c r="C10" s="6" t="n">
        <v>308.83</v>
      </c>
      <c r="D10" s="7" t="n">
        <v>370</v>
      </c>
      <c r="E10" s="31" t="n">
        <v>0.198070135673348</v>
      </c>
      <c r="F10" s="6" t="n">
        <v>231.52</v>
      </c>
      <c r="G10" s="32" t="n">
        <v>-0.250331897807855</v>
      </c>
      <c r="H10" s="6" t="n">
        <v>321</v>
      </c>
      <c r="I10" s="6" t="n">
        <v>155</v>
      </c>
      <c r="J10" s="10" t="n">
        <v>138.48</v>
      </c>
      <c r="K10" s="11" t="n">
        <v>60</v>
      </c>
      <c r="L10" s="11" t="n">
        <v>12</v>
      </c>
      <c r="M10" s="26" t="n">
        <v>1</v>
      </c>
      <c r="N10" s="12" t="n">
        <v>270.2</v>
      </c>
      <c r="O10" s="13" t="n">
        <v>0.5267</v>
      </c>
      <c r="P10" s="13" t="n">
        <v>0.5064</v>
      </c>
      <c r="Q10" s="6" t="n">
        <v>0.8</v>
      </c>
      <c r="R10" s="12" t="n">
        <v>2417.8</v>
      </c>
      <c r="S10" s="5" t="s">
        <v>44</v>
      </c>
      <c r="T10" s="14" t="s">
        <v>45</v>
      </c>
    </row>
    <row r="11" customFormat="false" ht="21.75" hidden="false" customHeight="true" outlineLevel="0" collapsed="false">
      <c r="A11" s="4" t="s">
        <v>46</v>
      </c>
      <c r="B11" s="15" t="s">
        <v>47</v>
      </c>
      <c r="C11" s="16" t="n">
        <v>318.31</v>
      </c>
      <c r="D11" s="17" t="n">
        <v>370</v>
      </c>
      <c r="E11" s="18" t="n">
        <v>0.162388866199617</v>
      </c>
      <c r="F11" s="16" t="n">
        <v>371.67</v>
      </c>
      <c r="G11" s="19" t="n">
        <v>0.167635324055166</v>
      </c>
      <c r="H11" s="16" t="n">
        <v>500</v>
      </c>
      <c r="I11" s="16" t="n">
        <v>277</v>
      </c>
      <c r="J11" s="28" t="n">
        <v>-1.67000000000002</v>
      </c>
      <c r="K11" s="21" t="n">
        <v>18</v>
      </c>
      <c r="L11" s="21" t="n">
        <v>1</v>
      </c>
      <c r="M11" s="21" t="n">
        <v>0</v>
      </c>
      <c r="N11" s="22" t="n">
        <v>122.3</v>
      </c>
      <c r="O11" s="23" t="n">
        <v>0.2166</v>
      </c>
      <c r="P11" s="23" t="n">
        <v>0.3616</v>
      </c>
      <c r="Q11" s="16" t="n">
        <v>1.17</v>
      </c>
      <c r="R11" s="22" t="n">
        <v>2649.5</v>
      </c>
      <c r="S11" s="15" t="s">
        <v>48</v>
      </c>
      <c r="T11" s="24" t="s">
        <v>49</v>
      </c>
    </row>
    <row r="12" customFormat="false" ht="21.75" hidden="false" customHeight="true" outlineLevel="0" collapsed="false">
      <c r="A12" s="4" t="s">
        <v>50</v>
      </c>
      <c r="B12" s="5" t="s">
        <v>23</v>
      </c>
      <c r="C12" s="6" t="n">
        <v>283.32</v>
      </c>
      <c r="D12" s="7" t="n">
        <v>330</v>
      </c>
      <c r="E12" s="31" t="n">
        <v>0.164760694620923</v>
      </c>
      <c r="F12" s="6" t="n">
        <v>217.67</v>
      </c>
      <c r="G12" s="32" t="n">
        <v>-0.231716786672314</v>
      </c>
      <c r="H12" s="6" t="n">
        <v>324</v>
      </c>
      <c r="I12" s="6" t="n">
        <v>68</v>
      </c>
      <c r="J12" s="10" t="n">
        <v>112.33</v>
      </c>
      <c r="K12" s="11" t="n">
        <v>16</v>
      </c>
      <c r="L12" s="11" t="n">
        <v>12</v>
      </c>
      <c r="M12" s="26" t="n">
        <v>3</v>
      </c>
      <c r="N12" s="12" t="n">
        <v>80.6</v>
      </c>
      <c r="O12" s="13" t="n">
        <v>0.0363</v>
      </c>
      <c r="P12" s="13" t="n">
        <v>0.3111</v>
      </c>
      <c r="Q12" s="6" t="n">
        <v>0.44</v>
      </c>
      <c r="R12" s="12" t="n">
        <v>751.1</v>
      </c>
      <c r="S12" s="5" t="s">
        <v>38</v>
      </c>
      <c r="T12" s="14" t="s">
        <v>51</v>
      </c>
    </row>
    <row r="13" customFormat="false" ht="21.75" hidden="false" customHeight="true" outlineLevel="0" collapsed="false">
      <c r="A13" s="4" t="s">
        <v>52</v>
      </c>
      <c r="B13" s="15" t="s">
        <v>23</v>
      </c>
      <c r="C13" s="16" t="n">
        <v>151.03</v>
      </c>
      <c r="D13" s="17" t="n">
        <v>230</v>
      </c>
      <c r="E13" s="8" t="n">
        <v>0.522876249751705</v>
      </c>
      <c r="F13" s="16" t="n">
        <v>227.78</v>
      </c>
      <c r="G13" s="19" t="n">
        <v>0.508177183341058</v>
      </c>
      <c r="H13" s="16" t="n">
        <v>293</v>
      </c>
      <c r="I13" s="16" t="n">
        <v>190</v>
      </c>
      <c r="J13" s="20" t="n">
        <v>2.22</v>
      </c>
      <c r="K13" s="21" t="n">
        <v>20</v>
      </c>
      <c r="L13" s="21" t="n">
        <v>2</v>
      </c>
      <c r="M13" s="21" t="n">
        <v>0</v>
      </c>
      <c r="N13" s="22" t="n">
        <v>50.9</v>
      </c>
      <c r="O13" s="23" t="n">
        <v>0.3413</v>
      </c>
      <c r="P13" s="23" t="n">
        <v>0.1272</v>
      </c>
      <c r="Q13" s="29" t="s">
        <v>31</v>
      </c>
      <c r="R13" s="29" t="s">
        <v>31</v>
      </c>
      <c r="S13" s="15" t="s">
        <v>32</v>
      </c>
      <c r="T13" s="24" t="s">
        <v>53</v>
      </c>
    </row>
    <row r="15" customFormat="false" ht="15" hidden="false" customHeight="false" outlineLevel="0" collapsed="false">
      <c r="A15" s="33" t="s">
        <v>54</v>
      </c>
      <c r="B15" s="33"/>
      <c r="C15" s="33"/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</row>
    <row r="16" customFormat="false" ht="15" hidden="false" customHeight="false" outlineLevel="0" collapsed="false">
      <c r="A16" s="34" t="s">
        <v>55</v>
      </c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</row>
  </sheetData>
  <mergeCells count="4">
    <mergeCell ref="A1:T1"/>
    <mergeCell ref="A2:T2"/>
    <mergeCell ref="A15:T15"/>
    <mergeCell ref="A16:T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6"/>
    <col collapsed="false" customWidth="true" hidden="false" outlineLevel="0" max="4" min="3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2" min="11" style="0" width="11"/>
    <col collapsed="false" customWidth="true" hidden="false" outlineLevel="0" max="13" min="13" style="0" width="9"/>
    <col collapsed="false" customWidth="true" hidden="false" outlineLevel="0" max="15" min="14" style="0" width="11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11"/>
  </cols>
  <sheetData>
    <row r="1" customFormat="false" ht="36" hidden="false" customHeight="true" outlineLevel="0" collapsed="false">
      <c r="A1" s="35" t="s">
        <v>56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</row>
    <row r="2" customFormat="false" ht="18" hidden="false" customHeight="true" outlineLevel="0" collapsed="false">
      <c r="A2" s="36" t="s">
        <v>57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</row>
    <row r="3" customFormat="false" ht="18" hidden="false" customHeight="true" outlineLevel="0" collapsed="false">
      <c r="C3" s="37" t="s">
        <v>58</v>
      </c>
      <c r="D3" s="37"/>
      <c r="E3" s="38" t="s">
        <v>59</v>
      </c>
      <c r="F3" s="38"/>
      <c r="G3" s="38" t="s">
        <v>60</v>
      </c>
      <c r="H3" s="38"/>
      <c r="I3" s="38" t="s">
        <v>61</v>
      </c>
      <c r="J3" s="38"/>
      <c r="K3" s="37" t="s">
        <v>62</v>
      </c>
      <c r="L3" s="37"/>
      <c r="M3" s="37"/>
      <c r="N3" s="37" t="s">
        <v>63</v>
      </c>
      <c r="O3" s="37"/>
      <c r="P3" s="37"/>
      <c r="Q3" s="39" t="s">
        <v>64</v>
      </c>
      <c r="R3" s="39"/>
    </row>
    <row r="4" customFormat="false" ht="36" hidden="false" customHeight="true" outlineLevel="0" collapsed="false">
      <c r="A4" s="40" t="s">
        <v>2</v>
      </c>
      <c r="B4" s="40" t="s">
        <v>3</v>
      </c>
      <c r="C4" s="40" t="s">
        <v>65</v>
      </c>
      <c r="D4" s="40" t="s">
        <v>5</v>
      </c>
      <c r="E4" s="41" t="s">
        <v>66</v>
      </c>
      <c r="F4" s="41" t="s">
        <v>67</v>
      </c>
      <c r="G4" s="41" t="s">
        <v>66</v>
      </c>
      <c r="H4" s="41" t="s">
        <v>67</v>
      </c>
      <c r="I4" s="41" t="s">
        <v>66</v>
      </c>
      <c r="J4" s="41" t="s">
        <v>67</v>
      </c>
      <c r="K4" s="41" t="s">
        <v>66</v>
      </c>
      <c r="L4" s="42" t="s">
        <v>68</v>
      </c>
      <c r="M4" s="41" t="s">
        <v>67</v>
      </c>
      <c r="N4" s="41" t="s">
        <v>66</v>
      </c>
      <c r="O4" s="42" t="s">
        <v>68</v>
      </c>
      <c r="P4" s="41" t="s">
        <v>67</v>
      </c>
      <c r="Q4" s="42" t="s">
        <v>69</v>
      </c>
      <c r="R4" s="41" t="s">
        <v>70</v>
      </c>
    </row>
    <row r="5" customFormat="false" ht="19.5" hidden="false" customHeight="true" outlineLevel="0" collapsed="false">
      <c r="A5" s="4" t="s">
        <v>22</v>
      </c>
      <c r="B5" s="43" t="s">
        <v>23</v>
      </c>
      <c r="C5" s="6" t="n">
        <v>951.66</v>
      </c>
      <c r="D5" s="7" t="n">
        <v>1200</v>
      </c>
      <c r="E5" s="44"/>
      <c r="F5" s="45"/>
      <c r="G5" s="44"/>
      <c r="H5" s="45"/>
      <c r="I5" s="44"/>
      <c r="J5" s="45"/>
      <c r="K5" s="44"/>
      <c r="L5" s="46"/>
      <c r="M5" s="45"/>
      <c r="N5" s="44"/>
      <c r="O5" s="46"/>
      <c r="P5" s="45"/>
      <c r="Q5" s="47" t="n">
        <v>1119.95</v>
      </c>
      <c r="R5" s="25" t="n">
        <f aca="false">D5-Q5</f>
        <v>80.05</v>
      </c>
    </row>
    <row r="6" customFormat="false" ht="19.5" hidden="false" customHeight="true" outlineLevel="0" collapsed="false">
      <c r="A6" s="4" t="s">
        <v>26</v>
      </c>
      <c r="B6" s="48" t="s">
        <v>27</v>
      </c>
      <c r="C6" s="16" t="n">
        <v>164.9</v>
      </c>
      <c r="D6" s="17" t="n">
        <v>185</v>
      </c>
      <c r="E6" s="44"/>
      <c r="F6" s="45"/>
      <c r="G6" s="44"/>
      <c r="H6" s="45"/>
      <c r="I6" s="44"/>
      <c r="J6" s="45"/>
      <c r="K6" s="44"/>
      <c r="L6" s="46"/>
      <c r="M6" s="45"/>
      <c r="N6" s="44"/>
      <c r="O6" s="46"/>
      <c r="P6" s="45"/>
      <c r="Q6" s="47" t="n">
        <v>183.3</v>
      </c>
      <c r="R6" s="28" t="n">
        <f aca="false">D6-Q6</f>
        <v>1.69999999999999</v>
      </c>
    </row>
    <row r="7" customFormat="false" ht="19.5" hidden="false" customHeight="true" outlineLevel="0" collapsed="false">
      <c r="A7" s="4" t="s">
        <v>30</v>
      </c>
      <c r="B7" s="43" t="s">
        <v>23</v>
      </c>
      <c r="C7" s="6" t="n">
        <v>132.05</v>
      </c>
      <c r="D7" s="7" t="n">
        <v>185</v>
      </c>
      <c r="E7" s="44"/>
      <c r="F7" s="45"/>
      <c r="G7" s="44"/>
      <c r="H7" s="45"/>
      <c r="I7" s="44"/>
      <c r="J7" s="45"/>
      <c r="K7" s="44"/>
      <c r="L7" s="46"/>
      <c r="M7" s="45"/>
      <c r="N7" s="44"/>
      <c r="O7" s="46"/>
      <c r="P7" s="45"/>
      <c r="Q7" s="47" t="n">
        <v>194.5</v>
      </c>
      <c r="R7" s="25" t="n">
        <f aca="false">D7-Q7</f>
        <v>-9.5</v>
      </c>
    </row>
    <row r="8" customFormat="false" ht="19.5" hidden="false" customHeight="true" outlineLevel="0" collapsed="false">
      <c r="A8" s="4" t="s">
        <v>34</v>
      </c>
      <c r="B8" s="48" t="s">
        <v>23</v>
      </c>
      <c r="C8" s="16" t="n">
        <v>262.66</v>
      </c>
      <c r="D8" s="17" t="n">
        <v>385</v>
      </c>
      <c r="E8" s="44"/>
      <c r="F8" s="45"/>
      <c r="G8" s="44"/>
      <c r="H8" s="45"/>
      <c r="I8" s="44"/>
      <c r="J8" s="45"/>
      <c r="K8" s="44"/>
      <c r="L8" s="46"/>
      <c r="M8" s="45"/>
      <c r="N8" s="44"/>
      <c r="O8" s="46"/>
      <c r="P8" s="45"/>
      <c r="Q8" s="47" t="n">
        <v>391.43</v>
      </c>
      <c r="R8" s="28" t="n">
        <f aca="false">D8-Q8</f>
        <v>-6.43000000000001</v>
      </c>
    </row>
    <row r="9" customFormat="false" ht="19.5" hidden="false" customHeight="true" outlineLevel="0" collapsed="false">
      <c r="A9" s="4" t="s">
        <v>36</v>
      </c>
      <c r="B9" s="43" t="s">
        <v>37</v>
      </c>
      <c r="C9" s="6" t="n">
        <v>113.94</v>
      </c>
      <c r="D9" s="7" t="n">
        <v>140</v>
      </c>
      <c r="E9" s="44"/>
      <c r="F9" s="45"/>
      <c r="G9" s="44"/>
      <c r="H9" s="45"/>
      <c r="I9" s="44"/>
      <c r="J9" s="45"/>
      <c r="K9" s="44"/>
      <c r="L9" s="46"/>
      <c r="M9" s="45"/>
      <c r="N9" s="44"/>
      <c r="O9" s="46"/>
      <c r="P9" s="45"/>
      <c r="Q9" s="47" t="n">
        <v>140.25</v>
      </c>
      <c r="R9" s="25" t="n">
        <f aca="false">D9-Q9</f>
        <v>-0.25</v>
      </c>
    </row>
    <row r="10" customFormat="false" ht="19.5" hidden="false" customHeight="true" outlineLevel="0" collapsed="false">
      <c r="A10" s="4" t="s">
        <v>40</v>
      </c>
      <c r="B10" s="48" t="s">
        <v>27</v>
      </c>
      <c r="C10" s="16" t="n">
        <v>413.9</v>
      </c>
      <c r="D10" s="17" t="n">
        <v>560</v>
      </c>
      <c r="E10" s="44"/>
      <c r="F10" s="45"/>
      <c r="G10" s="44"/>
      <c r="H10" s="45"/>
      <c r="I10" s="44"/>
      <c r="J10" s="45"/>
      <c r="K10" s="44"/>
      <c r="L10" s="46"/>
      <c r="M10" s="45"/>
      <c r="N10" s="44"/>
      <c r="O10" s="46"/>
      <c r="P10" s="45"/>
      <c r="Q10" s="47" t="n">
        <v>489.8</v>
      </c>
      <c r="R10" s="28" t="n">
        <f aca="false">D10-Q10</f>
        <v>70.2</v>
      </c>
    </row>
    <row r="11" customFormat="false" ht="19.5" hidden="false" customHeight="true" outlineLevel="0" collapsed="false">
      <c r="A11" s="4" t="s">
        <v>43</v>
      </c>
      <c r="B11" s="43" t="s">
        <v>27</v>
      </c>
      <c r="C11" s="6" t="n">
        <v>308.83</v>
      </c>
      <c r="D11" s="7" t="n">
        <v>370</v>
      </c>
      <c r="E11" s="44"/>
      <c r="F11" s="45"/>
      <c r="G11" s="44"/>
      <c r="H11" s="45"/>
      <c r="I11" s="44"/>
      <c r="J11" s="45"/>
      <c r="K11" s="44"/>
      <c r="L11" s="46"/>
      <c r="M11" s="45"/>
      <c r="N11" s="44"/>
      <c r="O11" s="46"/>
      <c r="P11" s="45"/>
      <c r="Q11" s="47" t="n">
        <v>231.52</v>
      </c>
      <c r="R11" s="25" t="n">
        <f aca="false">D11-Q11</f>
        <v>138.48</v>
      </c>
    </row>
    <row r="12" customFormat="false" ht="19.5" hidden="false" customHeight="true" outlineLevel="0" collapsed="false">
      <c r="A12" s="4" t="s">
        <v>46</v>
      </c>
      <c r="B12" s="48" t="s">
        <v>47</v>
      </c>
      <c r="C12" s="16" t="n">
        <v>318.31</v>
      </c>
      <c r="D12" s="17" t="n">
        <v>370</v>
      </c>
      <c r="E12" s="44"/>
      <c r="F12" s="45"/>
      <c r="G12" s="44"/>
      <c r="H12" s="45"/>
      <c r="I12" s="44"/>
      <c r="J12" s="45"/>
      <c r="K12" s="44"/>
      <c r="L12" s="46"/>
      <c r="M12" s="45"/>
      <c r="N12" s="44"/>
      <c r="O12" s="46"/>
      <c r="P12" s="45"/>
      <c r="Q12" s="47" t="n">
        <v>371.67</v>
      </c>
      <c r="R12" s="28" t="n">
        <f aca="false">D12-Q12</f>
        <v>-1.67000000000002</v>
      </c>
    </row>
    <row r="13" customFormat="false" ht="19.5" hidden="false" customHeight="true" outlineLevel="0" collapsed="false">
      <c r="A13" s="4" t="s">
        <v>50</v>
      </c>
      <c r="B13" s="43" t="s">
        <v>23</v>
      </c>
      <c r="C13" s="6" t="n">
        <v>283.32</v>
      </c>
      <c r="D13" s="7" t="n">
        <v>330</v>
      </c>
      <c r="E13" s="44"/>
      <c r="F13" s="45"/>
      <c r="G13" s="44"/>
      <c r="H13" s="45"/>
      <c r="I13" s="44"/>
      <c r="J13" s="45"/>
      <c r="K13" s="44"/>
      <c r="L13" s="46"/>
      <c r="M13" s="45"/>
      <c r="N13" s="44"/>
      <c r="O13" s="46"/>
      <c r="P13" s="45"/>
      <c r="Q13" s="47" t="n">
        <v>217.67</v>
      </c>
      <c r="R13" s="25" t="n">
        <f aca="false">D13-Q13</f>
        <v>112.33</v>
      </c>
    </row>
    <row r="14" customFormat="false" ht="19.5" hidden="false" customHeight="true" outlineLevel="0" collapsed="false">
      <c r="A14" s="4" t="s">
        <v>52</v>
      </c>
      <c r="B14" s="48" t="s">
        <v>23</v>
      </c>
      <c r="C14" s="16" t="n">
        <v>151.03</v>
      </c>
      <c r="D14" s="17" t="n">
        <v>230</v>
      </c>
      <c r="E14" s="44"/>
      <c r="F14" s="45"/>
      <c r="G14" s="44"/>
      <c r="H14" s="45"/>
      <c r="I14" s="44"/>
      <c r="J14" s="45"/>
      <c r="K14" s="44"/>
      <c r="L14" s="46"/>
      <c r="M14" s="45"/>
      <c r="N14" s="44"/>
      <c r="O14" s="46"/>
      <c r="P14" s="45"/>
      <c r="Q14" s="47" t="n">
        <v>227.78</v>
      </c>
      <c r="R14" s="28" t="n">
        <f aca="false">D14-Q14</f>
        <v>2.22</v>
      </c>
    </row>
    <row r="16" customFormat="false" ht="19.5" hidden="false" customHeight="true" outlineLevel="0" collapsed="false">
      <c r="A16" s="49" t="s">
        <v>71</v>
      </c>
      <c r="B16" s="49"/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</row>
    <row r="17" customFormat="false" ht="15.75" hidden="false" customHeight="true" outlineLevel="0" collapsed="false">
      <c r="A17" s="50" t="s">
        <v>72</v>
      </c>
      <c r="B17" s="50"/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</row>
    <row r="18" customFormat="false" ht="15.75" hidden="false" customHeight="true" outlineLevel="0" collapsed="false">
      <c r="A18" s="51" t="s">
        <v>73</v>
      </c>
      <c r="B18" s="51"/>
      <c r="C18" s="51"/>
      <c r="D18" s="51"/>
      <c r="E18" s="51"/>
      <c r="F18" s="51"/>
      <c r="G18" s="51"/>
      <c r="H18" s="51"/>
      <c r="I18" s="51"/>
      <c r="J18" s="51"/>
      <c r="K18" s="51"/>
      <c r="L18" s="51"/>
      <c r="M18" s="51"/>
      <c r="N18" s="51"/>
      <c r="O18" s="51"/>
      <c r="P18" s="51"/>
      <c r="Q18" s="51"/>
      <c r="R18" s="51"/>
    </row>
    <row r="19" customFormat="false" ht="15.75" hidden="false" customHeight="true" outlineLevel="0" collapsed="false">
      <c r="A19" s="50" t="s">
        <v>74</v>
      </c>
      <c r="B19" s="50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</row>
    <row r="20" customFormat="false" ht="15.75" hidden="false" customHeight="true" outlineLevel="0" collapsed="false">
      <c r="A20" s="51" t="s">
        <v>75</v>
      </c>
      <c r="B20" s="51"/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</row>
    <row r="21" customFormat="false" ht="15.75" hidden="false" customHeight="true" outlineLevel="0" collapsed="false">
      <c r="A21" s="50" t="s">
        <v>76</v>
      </c>
      <c r="B21" s="50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</row>
    <row r="22" customFormat="false" ht="15.75" hidden="false" customHeight="true" outlineLevel="0" collapsed="false">
      <c r="A22" s="51" t="s">
        <v>77</v>
      </c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</row>
    <row r="24" customFormat="false" ht="15" hidden="false" customHeight="false" outlineLevel="0" collapsed="false">
      <c r="A24" s="34" t="s">
        <v>78</v>
      </c>
      <c r="B24" s="34"/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</row>
  </sheetData>
  <mergeCells count="17">
    <mergeCell ref="A1:R1"/>
    <mergeCell ref="A2:R2"/>
    <mergeCell ref="C3:D3"/>
    <mergeCell ref="E3:F3"/>
    <mergeCell ref="G3:H3"/>
    <mergeCell ref="I3:J3"/>
    <mergeCell ref="K3:M3"/>
    <mergeCell ref="N3:P3"/>
    <mergeCell ref="Q3:R3"/>
    <mergeCell ref="A16:R16"/>
    <mergeCell ref="A17:R17"/>
    <mergeCell ref="A18:R18"/>
    <mergeCell ref="A19:R19"/>
    <mergeCell ref="A20:R20"/>
    <mergeCell ref="A21:R21"/>
    <mergeCell ref="A22:R22"/>
    <mergeCell ref="A24:R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4" min="3" style="0" width="9"/>
    <col collapsed="false" customWidth="true" hidden="false" outlineLevel="0" max="6" min="5" style="0" width="12"/>
    <col collapsed="false" customWidth="true" hidden="false" outlineLevel="0" max="8" min="7" style="0" width="9"/>
    <col collapsed="false" customWidth="true" hidden="false" outlineLevel="0" max="11" min="9" style="0" width="8"/>
    <col collapsed="false" customWidth="true" hidden="false" outlineLevel="0" max="12" min="12" style="0" width="14"/>
  </cols>
  <sheetData>
    <row r="1" customFormat="false" ht="30" hidden="false" customHeight="true" outlineLevel="0" collapsed="false">
      <c r="A1" s="52" t="s">
        <v>79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</row>
    <row r="2" customFormat="false" ht="18" hidden="false" customHeight="true" outlineLevel="0" collapsed="false">
      <c r="A2" s="53" t="s">
        <v>80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</row>
    <row r="3" customFormat="false" ht="27.75" hidden="false" customHeight="true" outlineLevel="0" collapsed="false">
      <c r="A3" s="54" t="s">
        <v>2</v>
      </c>
      <c r="B3" s="54" t="s">
        <v>81</v>
      </c>
      <c r="C3" s="54" t="s">
        <v>65</v>
      </c>
      <c r="D3" s="54" t="s">
        <v>5</v>
      </c>
      <c r="E3" s="54" t="s">
        <v>82</v>
      </c>
      <c r="F3" s="54" t="s">
        <v>83</v>
      </c>
      <c r="G3" s="54" t="s">
        <v>9</v>
      </c>
      <c r="H3" s="54" t="s">
        <v>10</v>
      </c>
      <c r="I3" s="54" t="s">
        <v>12</v>
      </c>
      <c r="J3" s="54" t="s">
        <v>13</v>
      </c>
      <c r="K3" s="54" t="s">
        <v>14</v>
      </c>
      <c r="L3" s="54" t="s">
        <v>84</v>
      </c>
    </row>
    <row r="4" customFormat="false" ht="19.5" hidden="false" customHeight="true" outlineLevel="0" collapsed="false">
      <c r="A4" s="55" t="s">
        <v>22</v>
      </c>
      <c r="B4" s="56" t="s">
        <v>85</v>
      </c>
      <c r="C4" s="6" t="n">
        <v>951.66</v>
      </c>
      <c r="D4" s="57" t="n">
        <v>1200</v>
      </c>
      <c r="E4" s="6" t="n">
        <v>1119.95</v>
      </c>
      <c r="F4" s="6" t="n">
        <v>1195</v>
      </c>
      <c r="G4" s="6" t="n">
        <v>1400</v>
      </c>
      <c r="H4" s="6" t="n">
        <v>714</v>
      </c>
      <c r="I4" s="58" t="n">
        <v>21</v>
      </c>
      <c r="J4" s="58" t="n">
        <v>7</v>
      </c>
      <c r="K4" s="58" t="n">
        <v>0</v>
      </c>
      <c r="L4" s="59" t="s">
        <v>86</v>
      </c>
    </row>
    <row r="5" customFormat="false" ht="19.5" hidden="false" customHeight="true" outlineLevel="0" collapsed="false">
      <c r="A5" s="55" t="s">
        <v>26</v>
      </c>
      <c r="B5" s="60" t="s">
        <v>87</v>
      </c>
      <c r="C5" s="16" t="n">
        <v>164.9</v>
      </c>
      <c r="D5" s="61" t="n">
        <v>185</v>
      </c>
      <c r="E5" s="16" t="n">
        <v>183.3</v>
      </c>
      <c r="F5" s="16" t="n">
        <v>183</v>
      </c>
      <c r="G5" s="16" t="n">
        <v>200</v>
      </c>
      <c r="H5" s="16" t="n">
        <v>164</v>
      </c>
      <c r="I5" s="62" t="n">
        <v>39</v>
      </c>
      <c r="J5" s="62" t="n">
        <v>13</v>
      </c>
      <c r="K5" s="62" t="n">
        <v>0</v>
      </c>
      <c r="L5" s="59" t="s">
        <v>88</v>
      </c>
    </row>
    <row r="6" customFormat="false" ht="19.5" hidden="false" customHeight="true" outlineLevel="0" collapsed="false">
      <c r="A6" s="55" t="s">
        <v>30</v>
      </c>
      <c r="B6" s="56" t="s">
        <v>89</v>
      </c>
      <c r="C6" s="6" t="n">
        <v>132.05</v>
      </c>
      <c r="D6" s="57" t="n">
        <v>185</v>
      </c>
      <c r="E6" s="6" t="n">
        <v>194.5</v>
      </c>
      <c r="F6" s="6" t="n">
        <v>201.5</v>
      </c>
      <c r="G6" s="6" t="n">
        <v>211</v>
      </c>
      <c r="H6" s="6" t="n">
        <v>162</v>
      </c>
      <c r="I6" s="58" t="n">
        <v>17</v>
      </c>
      <c r="J6" s="58" t="n">
        <v>7</v>
      </c>
      <c r="K6" s="63" t="n">
        <v>2</v>
      </c>
      <c r="L6" s="64" t="s">
        <v>90</v>
      </c>
    </row>
    <row r="7" customFormat="false" ht="19.5" hidden="false" customHeight="true" outlineLevel="0" collapsed="false">
      <c r="A7" s="55" t="s">
        <v>34</v>
      </c>
      <c r="B7" s="60" t="s">
        <v>91</v>
      </c>
      <c r="C7" s="16" t="n">
        <v>262.66</v>
      </c>
      <c r="D7" s="61" t="n">
        <v>385</v>
      </c>
      <c r="E7" s="16" t="n">
        <v>391.43</v>
      </c>
      <c r="F7" s="16" t="n">
        <v>392</v>
      </c>
      <c r="G7" s="16" t="n">
        <v>460</v>
      </c>
      <c r="H7" s="16" t="n">
        <v>310</v>
      </c>
      <c r="I7" s="62" t="n">
        <v>15</v>
      </c>
      <c r="J7" s="62" t="n">
        <v>5</v>
      </c>
      <c r="K7" s="62" t="n">
        <v>0</v>
      </c>
      <c r="L7" s="59" t="s">
        <v>92</v>
      </c>
    </row>
    <row r="8" customFormat="false" ht="19.5" hidden="false" customHeight="true" outlineLevel="0" collapsed="false">
      <c r="A8" s="55" t="s">
        <v>36</v>
      </c>
      <c r="B8" s="56" t="s">
        <v>93</v>
      </c>
      <c r="C8" s="6" t="n">
        <v>113.94</v>
      </c>
      <c r="D8" s="57" t="n">
        <v>140</v>
      </c>
      <c r="E8" s="6" t="n">
        <v>140.25</v>
      </c>
      <c r="F8" s="6" t="n">
        <v>139</v>
      </c>
      <c r="G8" s="6" t="n">
        <v>175</v>
      </c>
      <c r="H8" s="6" t="n">
        <v>108</v>
      </c>
      <c r="I8" s="58" t="n">
        <v>13</v>
      </c>
      <c r="J8" s="58" t="n">
        <v>4</v>
      </c>
      <c r="K8" s="63" t="n">
        <v>2</v>
      </c>
      <c r="L8" s="64" t="s">
        <v>94</v>
      </c>
    </row>
    <row r="9" customFormat="false" ht="19.5" hidden="false" customHeight="true" outlineLevel="0" collapsed="false">
      <c r="A9" s="55" t="s">
        <v>40</v>
      </c>
      <c r="B9" s="60" t="s">
        <v>95</v>
      </c>
      <c r="C9" s="16" t="n">
        <v>413.9</v>
      </c>
      <c r="D9" s="61" t="n">
        <v>560</v>
      </c>
      <c r="E9" s="16" t="n">
        <v>489.8</v>
      </c>
      <c r="F9" s="16" t="n">
        <v>495</v>
      </c>
      <c r="G9" s="16" t="n">
        <v>582</v>
      </c>
      <c r="H9" s="16" t="n">
        <v>400</v>
      </c>
      <c r="I9" s="62" t="n">
        <v>51</v>
      </c>
      <c r="J9" s="62" t="n">
        <v>7</v>
      </c>
      <c r="K9" s="62" t="n">
        <v>0</v>
      </c>
      <c r="L9" s="59" t="s">
        <v>96</v>
      </c>
    </row>
    <row r="10" customFormat="false" ht="19.5" hidden="false" customHeight="true" outlineLevel="0" collapsed="false">
      <c r="A10" s="55" t="s">
        <v>43</v>
      </c>
      <c r="B10" s="56" t="s">
        <v>97</v>
      </c>
      <c r="C10" s="6" t="n">
        <v>308.83</v>
      </c>
      <c r="D10" s="57" t="n">
        <v>370</v>
      </c>
      <c r="E10" s="6" t="n">
        <v>231.52</v>
      </c>
      <c r="F10" s="6" t="n">
        <v>235</v>
      </c>
      <c r="G10" s="6" t="n">
        <v>321</v>
      </c>
      <c r="H10" s="6" t="n">
        <v>155</v>
      </c>
      <c r="I10" s="58" t="n">
        <v>60</v>
      </c>
      <c r="J10" s="58" t="n">
        <v>12</v>
      </c>
      <c r="K10" s="63" t="n">
        <v>1</v>
      </c>
      <c r="L10" s="59" t="s">
        <v>98</v>
      </c>
    </row>
    <row r="11" customFormat="false" ht="19.5" hidden="false" customHeight="true" outlineLevel="0" collapsed="false">
      <c r="A11" s="55" t="s">
        <v>46</v>
      </c>
      <c r="B11" s="60" t="s">
        <v>99</v>
      </c>
      <c r="C11" s="16" t="n">
        <v>318.31</v>
      </c>
      <c r="D11" s="61" t="n">
        <v>370</v>
      </c>
      <c r="E11" s="16" t="n">
        <v>371.67</v>
      </c>
      <c r="F11" s="16" t="n">
        <v>354</v>
      </c>
      <c r="G11" s="16" t="n">
        <v>500</v>
      </c>
      <c r="H11" s="16" t="n">
        <v>277</v>
      </c>
      <c r="I11" s="62" t="n">
        <v>18</v>
      </c>
      <c r="J11" s="62" t="n">
        <v>1</v>
      </c>
      <c r="K11" s="62" t="n">
        <v>0</v>
      </c>
      <c r="L11" s="59" t="s">
        <v>100</v>
      </c>
    </row>
    <row r="12" customFormat="false" ht="19.5" hidden="false" customHeight="true" outlineLevel="0" collapsed="false">
      <c r="A12" s="55" t="s">
        <v>50</v>
      </c>
      <c r="B12" s="56" t="s">
        <v>101</v>
      </c>
      <c r="C12" s="6" t="n">
        <v>283.32</v>
      </c>
      <c r="D12" s="57" t="n">
        <v>330</v>
      </c>
      <c r="E12" s="6" t="n">
        <v>217.67</v>
      </c>
      <c r="F12" s="6" t="n">
        <v>225</v>
      </c>
      <c r="G12" s="6" t="n">
        <v>324</v>
      </c>
      <c r="H12" s="6" t="n">
        <v>68</v>
      </c>
      <c r="I12" s="58" t="n">
        <v>16</v>
      </c>
      <c r="J12" s="58" t="n">
        <v>12</v>
      </c>
      <c r="K12" s="63" t="n">
        <v>3</v>
      </c>
      <c r="L12" s="64" t="s">
        <v>102</v>
      </c>
    </row>
    <row r="13" customFormat="false" ht="19.5" hidden="false" customHeight="true" outlineLevel="0" collapsed="false">
      <c r="A13" s="55" t="s">
        <v>52</v>
      </c>
      <c r="B13" s="60" t="s">
        <v>103</v>
      </c>
      <c r="C13" s="16" t="n">
        <v>151.03</v>
      </c>
      <c r="D13" s="61" t="n">
        <v>230</v>
      </c>
      <c r="E13" s="16" t="n">
        <v>227.78</v>
      </c>
      <c r="F13" s="16" t="n">
        <v>232</v>
      </c>
      <c r="G13" s="16" t="n">
        <v>293</v>
      </c>
      <c r="H13" s="16" t="n">
        <v>190</v>
      </c>
      <c r="I13" s="62" t="n">
        <v>20</v>
      </c>
      <c r="J13" s="62" t="n">
        <v>2</v>
      </c>
      <c r="K13" s="62" t="n">
        <v>0</v>
      </c>
      <c r="L13" s="59" t="s">
        <v>104</v>
      </c>
    </row>
    <row r="15" customFormat="false" ht="15" hidden="false" customHeight="false" outlineLevel="0" collapsed="false">
      <c r="A15" s="34" t="s">
        <v>105</v>
      </c>
      <c r="B15" s="34"/>
      <c r="C15" s="34"/>
      <c r="D15" s="34"/>
      <c r="E15" s="34"/>
      <c r="F15" s="34"/>
      <c r="G15" s="34"/>
      <c r="H15" s="34"/>
      <c r="I15" s="34"/>
      <c r="J15" s="34"/>
      <c r="K15" s="34"/>
      <c r="L15" s="34"/>
    </row>
  </sheetData>
  <mergeCells count="3">
    <mergeCell ref="A1:L1"/>
    <mergeCell ref="A2:L2"/>
    <mergeCell ref="A15:L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2026-06-04T15:36:09Z</dcterms:created>
  <dc:creator>openpyxl</dc:creator>
  <dc:description/>
  <dc:language>en-US</dc:language>
  <cp:lastModifiedBy/>
  <dcterms:modified xsi:type="dcterms:W3CDTF">2026-06-04T15:36:09Z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