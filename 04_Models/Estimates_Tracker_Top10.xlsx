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3 Gauntlet (Jul-Aug)" sheetId="1" state="visible" r:id="rId3"/>
    <sheet name="Dashboard" sheetId="2" state="visible" r:id="rId4"/>
    <sheet name="Estimates Tracker" sheetId="3" state="visible" r:id="rId5"/>
    <sheet name="Ratings &amp; PT 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<sst xmlns="http://schemas.openxmlformats.org/spreadsheetml/2006/main" count="250" uniqueCount="157">
  <si>
    <t xml:space="preserve">Q3 EARNINGS GAUNTLET — Jul 15 → Aug 13, 2026  |  refreshed 2026-07-07 (AI-unwind tape)</t>
  </si>
  <si>
    <t xml:space="preserve">Consensus EPS: Robinhood estimates 2026-07-07. Prices: live intraday 7/7 (FMP). PTs/bears: Decisions Log through 7/7. Dates marked ~ are tentative (unverified). Playbook § = Catalyst Playbooks.</t>
  </si>
  <si>
    <t xml:space="preserve">Ticker</t>
  </si>
  <si>
    <t xml:space="preserve">Rating</t>
  </si>
  <si>
    <t xml:space="preserve">Report Date</t>
  </si>
  <si>
    <t xml:space="preserve">Q EPS Est</t>
  </si>
  <si>
    <t xml:space="preserve">Prior Q Est</t>
  </si>
  <si>
    <t xml:space="preserve">Prior Q Act</t>
  </si>
  <si>
    <t xml:space="preserve">Prior Surprise %</t>
  </si>
  <si>
    <t xml:space="preserve">Price 7/7</t>
  </si>
  <si>
    <t xml:space="preserve">Our PT</t>
  </si>
  <si>
    <t xml:space="preserve">% to PT</t>
  </si>
  <si>
    <t xml:space="preserve">Bear</t>
  </si>
  <si>
    <t xml:space="preserve">% to Bear</t>
  </si>
  <si>
    <t xml:space="preserve">Note</t>
  </si>
  <si>
    <t xml:space="preserve">ASML</t>
  </si>
  <si>
    <t xml:space="preserve">Hold</t>
  </si>
  <si>
    <t xml:space="preserve">Jul 15</t>
  </si>
  <si>
    <t xml:space="preserve">7.98</t>
  </si>
  <si>
    <t xml:space="preserve">§4 — MANDATORY PT reset on all branches (stale $1,730 suspended for reset); EUV ≥60 + guide raise → PT ≥$1,930 branch</t>
  </si>
  <si>
    <t xml:space="preserve">GEV</t>
  </si>
  <si>
    <t xml:space="preserve">Buy</t>
  </si>
  <si>
    <t xml:space="preserve">Jul 22</t>
  </si>
  <si>
    <t xml:space="preserve">§5 — backlog ≥105GW → raise PT; $1,140 harvest band likely moot at current price; largest position (T1 6.5%)</t>
  </si>
  <si>
    <t xml:space="preserve">HUBB</t>
  </si>
  <si>
    <t xml:space="preserve">~Jul 28</t>
  </si>
  <si>
    <t xml:space="preserve">Date corrected 7/7 (was Jul 22)</t>
  </si>
  <si>
    <t xml:space="preserve">KLAC</t>
  </si>
  <si>
    <t xml:space="preserve">Jul 28</t>
  </si>
  <si>
    <t xml:space="preserve">1.00 (post-split)</t>
  </si>
  <si>
    <t xml:space="preserve">Revisit closed 7/7: Hold/$270; asym 0.79x at $212</t>
  </si>
  <si>
    <t xml:space="preserve">BE</t>
  </si>
  <si>
    <t xml:space="preserve">Date corrected 7/7 (was Aug 6); Jupiter/NM approval still pending — confirmed delay = sell trigger</t>
  </si>
  <si>
    <t xml:space="preserve">VRT</t>
  </si>
  <si>
    <t xml:space="preserve">~Jul 29</t>
  </si>
  <si>
    <t xml:space="preserve">LRCX</t>
  </si>
  <si>
    <t xml:space="preserve">§6 — rev ≥$6.8B + Q1 FY27 guide ≥$7.0B = bull branch; SK Hynix Jul 24 + Samsung capex Jul 30 bracket it</t>
  </si>
  <si>
    <t xml:space="preserve">EME</t>
  </si>
  <si>
    <t xml:space="preserve">Hold (watch)</t>
  </si>
  <si>
    <t xml:space="preserve">~Jul 30</t>
  </si>
  <si>
    <t xml:space="preserve">Upgrade trigger: RPO &gt;$16.5B + EPS ≥$7.50 + guide ≥$31; add zone ≤$660</t>
  </si>
  <si>
    <t xml:space="preserve">CCJ</t>
  </si>
  <si>
    <t xml:space="preserve">Jul 31</t>
  </si>
  <si>
    <t xml:space="preserve">9.9% above bear — upsize-trigger zone</t>
  </si>
  <si>
    <t xml:space="preserve">CAT</t>
  </si>
  <si>
    <t xml:space="preserve">Aug 4</t>
  </si>
  <si>
    <t xml:space="preserve">Date corrected 7/7 (was Jul 29) — re-underwrite due at print; E&amp;T backlog ≥5% trigger</t>
  </si>
  <si>
    <t xml:space="preserve">ANET</t>
  </si>
  <si>
    <t xml:space="preserve">~Aug 4</t>
  </si>
  <si>
    <t xml:space="preserve">Date corrected 7/7 (was Jul 29)</t>
  </si>
  <si>
    <t xml:space="preserve">NRG</t>
  </si>
  <si>
    <t xml:space="preserve">Date corrected 7/7 (was Aug 7); PJM Jul 14 result is the earlier catalyst</t>
  </si>
  <si>
    <t xml:space="preserve">CEG</t>
  </si>
  <si>
    <t xml:space="preserve">~Aug 6</t>
  </si>
  <si>
    <t xml:space="preserve">Date corrected 7/7 (was Aug 7); 10% above bear into PJM Jul 14</t>
  </si>
  <si>
    <t xml:space="preserve">NBIS</t>
  </si>
  <si>
    <t xml:space="preserve">Date corrected 7/7 (was Aug 14); watch Meta neocloud commentary vs thesis</t>
  </si>
  <si>
    <t xml:space="preserve">VST</t>
  </si>
  <si>
    <t xml:space="preserve">Aug 7</t>
  </si>
  <si>
    <t xml:space="preserve">§8 — Cogentrix status; adds gated; bear re-underwritten $105 → frontmatter bear $145 is Model-Portfolio value</t>
  </si>
  <si>
    <t xml:space="preserve">SNDK</t>
  </si>
  <si>
    <t xml:space="preserve">~Aug 13</t>
  </si>
  <si>
    <t xml:space="preserve">§11 3-condition gate: Q4 EPS ≥$38 (cons $33.38) + 6th NBM + Q1 FY27 guide ≥$35 (cons $41.45); now 25% BELOW stale PT</t>
  </si>
  <si>
    <t xml:space="preserve">UPSTEAM AI EQUITY RESEARCH  —  Estimates &amp; Consensus Tracker</t>
  </si>
  <si>
    <t xml:space="preserve">Top 10 High-Conviction Buys  |  built June 4, 2026 — STALE (Bigdata.com consensus pending re-auth). See 'Q3 Gauntlet (Jul-Aug)' sheet for the July 7 refresh.</t>
  </si>
  <si>
    <t xml:space="preserve">Sector</t>
  </si>
  <si>
    <t xml:space="preserve">Live Price</t>
  </si>
  <si>
    <t xml:space="preserve">↑ to Our PT</t>
  </si>
  <si>
    <t xml:space="preserve">Cons PT (Mean)</t>
  </si>
  <si>
    <t xml:space="preserve">↑ to Cons PT</t>
  </si>
  <si>
    <t xml:space="preserve">PT High</t>
  </si>
  <si>
    <t xml:space="preserve">PT Low</t>
  </si>
  <si>
    <t xml:space="preserve">PT vs Cons</t>
  </si>
  <si>
    <t xml:space="preserve">Sell</t>
  </si>
  <si>
    <t xml:space="preserve">Mkt Cap ($B)</t>
  </si>
  <si>
    <t xml:space="preserve">EBITDA Mrgn</t>
  </si>
  <si>
    <t xml:space="preserve">Gross Mrgn</t>
  </si>
  <si>
    <t xml:space="preserve">Latest Q EPS</t>
  </si>
  <si>
    <t xml:space="preserve">Latest Q Rev ($M)</t>
  </si>
  <si>
    <t xml:space="preserve">Next Earnings</t>
  </si>
  <si>
    <t xml:space="preserve">Thesis Note</t>
  </si>
  <si>
    <t xml:space="preserve">Power-Gen-Grid</t>
  </si>
  <si>
    <t xml:space="preserve">2026-07-22</t>
  </si>
  <si>
    <t xml:space="preserve">Oligopoly gas turbine; backlog 100GW</t>
  </si>
  <si>
    <t xml:space="preserve">AI-Networking</t>
  </si>
  <si>
    <t xml:space="preserve">2026-07-29</t>
  </si>
  <si>
    <t xml:space="preserve">AI Ethernet dominant; $11.5B rev guide</t>
  </si>
  <si>
    <t xml:space="preserve">—</t>
  </si>
  <si>
    <t xml:space="preserve">2026-08-07</t>
  </si>
  <si>
    <t xml:space="preserve">BYOP; 5.4GW GEV/Kiewit pipeline</t>
  </si>
  <si>
    <t xml:space="preserve">Largest nuclear fleet; Calpine FCF</t>
  </si>
  <si>
    <t xml:space="preserve">Critical-Minerals</t>
  </si>
  <si>
    <t xml:space="preserve">2026-08-06</t>
  </si>
  <si>
    <t xml:space="preserve">Uranium renaissance; Westinghouse JV</t>
  </si>
  <si>
    <t xml:space="preserve">AVGO</t>
  </si>
  <si>
    <t xml:space="preserve">~2026-09-04</t>
  </si>
  <si>
    <t xml:space="preserve">Custom AI silicon (Google/Meta/Apple)</t>
  </si>
  <si>
    <t xml:space="preserve">MRVL</t>
  </si>
  <si>
    <t xml:space="preserve">2026-08-27</t>
  </si>
  <si>
    <t xml:space="preserve">Amazon Trainium + Microsoft Maia</t>
  </si>
  <si>
    <t xml:space="preserve">Cooling-Thermal</t>
  </si>
  <si>
    <t xml:space="preserve">~2026-07-28</t>
  </si>
  <si>
    <t xml:space="preserve">AI cooling bellwether; +195% YoY</t>
  </si>
  <si>
    <t xml:space="preserve">Oracle 2.8GW; Nebius $2.6B; Aschenbrenner #1</t>
  </si>
  <si>
    <t xml:space="preserve">Meta 2.6GW + AWS 1.2GW 20yr PPAs</t>
  </si>
  <si>
    <t xml:space="preserve">Color key:  Blue text = Our price target (hardcoded input)  |  Green = upside &gt;20%  |  Red sell count = analyst has sell rating  |  PT vs Cons: how much our PT differs from Street consensus mean</t>
  </si>
  <si>
    <t xml:space="preserve">Source: Bigdata.com (bigdata.com) — consensus data as of June 4, 2026. Live prices from Bigdata.com API. Our PTs from vault as of 2026-06-03.</t>
  </si>
  <si>
    <t xml:space="preserve">UPSTEAM AI EQUITY RESEARCH  —  Estimates vs. Street Consensus</t>
  </si>
  <si>
    <t xml:space="preserve">Top 10 Buys  |  June 4, 2026  |  Yellow cells = Enter YOUR estimates  |  Black = formulas  |  Blue = hardcoded inputs from Street data</t>
  </si>
  <si>
    <t xml:space="preserve">CURRENT</t>
  </si>
  <si>
    <t xml:space="preserve">Q2 2026E</t>
  </si>
  <si>
    <t xml:space="preserve">Q3 2026E</t>
  </si>
  <si>
    <t xml:space="preserve">Q4 2026E</t>
  </si>
  <si>
    <t xml:space="preserve">FY 2026E</t>
  </si>
  <si>
    <t xml:space="preserve">FY 2027E</t>
  </si>
  <si>
    <t xml:space="preserve">CONVICTION</t>
  </si>
  <si>
    <t xml:space="preserve">Price</t>
  </si>
  <si>
    <t xml:space="preserve">Rev ($M)
Ours</t>
  </si>
  <si>
    <t xml:space="preserve">EPS
Ours</t>
  </si>
  <si>
    <t xml:space="preserve">Rev ($M)
Street</t>
  </si>
  <si>
    <t xml:space="preserve">Cons PT</t>
  </si>
  <si>
    <t xml:space="preserve">∆ Ours vs
Cons PT</t>
  </si>
  <si>
    <t xml:space="preserve">HOW TO USE THIS TRACKER</t>
  </si>
  <si>
    <t xml:space="preserve">  YELLOW cells:  Enter your own revenue ($M) and EPS estimates for each period. These are the 'Ours' columns.</t>
  </si>
  <si>
    <t xml:space="preserve">  BLUE cells:  Street consensus data hardcoded from Bigdata.com as of June 4, 2026. Update quarterly after each earnings season.</t>
  </si>
  <si>
    <t xml:space="preserve">  BLACK cells:  Excel formulas — do not edit. The Delta column calculates automatically.</t>
  </si>
  <si>
    <t xml:space="preserve">  Quarterly:  Fill Q2/Q3/Q4 2026 as quarters report. Pre-earnings: fill your estimate before the print, then add actuals after.</t>
  </si>
  <si>
    <t xml:space="preserve">  FY Revenue:  For FY columns, Street Rev is left blank — fill from FactSet/Bloomberg consensus screen each quarter.</t>
  </si>
  <si>
    <t xml:space="preserve">  Beat/Miss:  Add a column to the right after each quarter: Actual - Our Est and Actual - Street Est to track forecast accuracy.</t>
  </si>
  <si>
    <t xml:space="preserve">Source: Bigdata.com (bigdata.com) — consensus price targets as of June 4, 2026. Color coding: Blue = hardcoded input, Black = formula, Yellow = user input. See SKILL.md color conventions.</t>
  </si>
  <si>
    <t xml:space="preserve">ANALYST RATINGS &amp; PRICE TARGET DETAIL  —  Top 10 Buys</t>
  </si>
  <si>
    <t xml:space="preserve">Source: Bigdata.com  |  As of June 4, 2026  |  Consensus data powered by Bigdata.com (bigdata.com)</t>
  </si>
  <si>
    <t xml:space="preserve">Company</t>
  </si>
  <si>
    <t xml:space="preserve">Cons Mean</t>
  </si>
  <si>
    <t xml:space="preserve">Cons Median</t>
  </si>
  <si>
    <t xml:space="preserve">Coverage Score</t>
  </si>
  <si>
    <t xml:space="preserve">GE Vernova</t>
  </si>
  <si>
    <t xml:space="preserve">75% Buy  (28 analysts)</t>
  </si>
  <si>
    <t xml:space="preserve">Arista Networks</t>
  </si>
  <si>
    <t xml:space="preserve">75% Buy  (52 analysts)</t>
  </si>
  <si>
    <t xml:space="preserve">NRG Energy</t>
  </si>
  <si>
    <t xml:space="preserve">65% Buy  (26 analysts)</t>
  </si>
  <si>
    <t xml:space="preserve">Constellation Energy</t>
  </si>
  <si>
    <t xml:space="preserve">75% Buy  (20 analysts)</t>
  </si>
  <si>
    <t xml:space="preserve">Cameco Corp.</t>
  </si>
  <si>
    <t xml:space="preserve">68% Buy  (19 analysts)</t>
  </si>
  <si>
    <t xml:space="preserve">Broadcom Inc.</t>
  </si>
  <si>
    <t xml:space="preserve">88% Buy  (58 analysts)</t>
  </si>
  <si>
    <t xml:space="preserve">Marvell Technology</t>
  </si>
  <si>
    <t xml:space="preserve">82% Buy  (73 analysts)</t>
  </si>
  <si>
    <t xml:space="preserve">Vertiv Holdings</t>
  </si>
  <si>
    <t xml:space="preserve">95% Buy  (19 analysts)</t>
  </si>
  <si>
    <t xml:space="preserve">Bloom Energy</t>
  </si>
  <si>
    <t xml:space="preserve">52% Buy  (31 analysts)</t>
  </si>
  <si>
    <t xml:space="preserve">Vistra Corp.</t>
  </si>
  <si>
    <t xml:space="preserve">91% Buy  (22 analysts)</t>
  </si>
  <si>
    <t xml:space="preserve">Powered by Bigdata.com — https://bigdata.com  |  Data as of June 4, 2026  |  Not investment advice. For informational purposes only.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</si>
</sst>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$#,##0.00"/>
    <numFmt numFmtId="167" formatCode="\$#,##0"/>
    <numFmt numFmtId="168" formatCode="\$#,##0.00"/>
    <numFmt numFmtId="169" formatCode="\$#,##0;&quot;($&quot;#,##0\);\-"/>
    <numFmt numFmtId="170" formatCode="#,##0.0"/>
    <numFmt numFmtId="171" formatCode="@"/>
    <numFmt numFmtId="172" formatCode="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sz val="10"/>
      <color rgb="FF1E7145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9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333333"/>
      <name val="Arial"/>
      <family val="0"/>
      <charset val="1"/>
    </font>
    <font>
      <sz val="10"/>
      <color rgb="FF0000A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2E75B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BF8F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404040"/>
        <bgColor rgb="FF333333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>
        <color rgb="FF4472C4"/>
      </right>
      <top/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FFFFFF"/>
      </left>
      <right/>
      <top/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2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4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3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99"/>
      <rgbColor rgb="FF808000"/>
      <rgbColor rgb="FF800080"/>
      <rgbColor rgb="FF1E7145"/>
      <rgbColor rgb="FFCCCCCC"/>
      <rgbColor rgb="FF888888"/>
      <rgbColor rgb="FF9999FF"/>
      <rgbColor rgb="FF993366"/>
      <rgbColor rgb="FFF2F2F2"/>
      <rgbColor rgb="FFCCFFFF"/>
      <rgbColor rgb="FF660066"/>
      <rgbColor rgb="FFFF8080"/>
      <rgbColor rgb="FF2E75B6"/>
      <rgbColor rgb="FFD6E4F0"/>
      <rgbColor rgb="FF0000A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8F00"/>
      <rgbColor rgb="FFFF6600"/>
      <rgbColor rgb="FF666666"/>
      <rgbColor rgb="FFAAAAAA"/>
      <rgbColor rgb="FF1F3864"/>
      <rgbColor rgb="FF339966"/>
      <rgbColor rgb="FF003300"/>
      <rgbColor rgb="FF40404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2.3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s">
        <v>16</v>
      </c>
      <c r="C5" s="6" t="s">
        <v>17</v>
      </c>
      <c r="D5" s="6" t="s">
        <v>18</v>
      </c>
      <c r="E5" s="6" t="n">
        <v>7.72</v>
      </c>
      <c r="F5" s="6" t="n">
        <v>8.37</v>
      </c>
      <c r="G5" s="7" t="n">
        <f aca="false">(F5-E5)/ABS(E5)</f>
        <v>0.0841968911917098</v>
      </c>
      <c r="H5" s="8" t="n">
        <v>1722.22</v>
      </c>
      <c r="M5" s="9" t="s">
        <v>19</v>
      </c>
    </row>
    <row r="6" customFormat="false" ht="15" hidden="false" customHeight="false" outlineLevel="0" collapsed="false">
      <c r="A6" s="4" t="s">
        <v>20</v>
      </c>
      <c r="B6" s="5" t="s">
        <v>21</v>
      </c>
      <c r="C6" s="6" t="s">
        <v>22</v>
      </c>
      <c r="D6" s="6" t="n">
        <v>3.22</v>
      </c>
      <c r="E6" s="6" t="n">
        <v>1.93</v>
      </c>
      <c r="F6" s="6" t="n">
        <v>2.06</v>
      </c>
      <c r="G6" s="7" t="n">
        <f aca="false">(F6-E6)/ABS(E6)</f>
        <v>0.0673575129533679</v>
      </c>
      <c r="H6" s="8" t="n">
        <v>1036.56</v>
      </c>
      <c r="I6" s="10" t="n">
        <v>1200</v>
      </c>
      <c r="J6" s="7" t="n">
        <f aca="false">(I6-H6)/H6</f>
        <v>0.157675387821255</v>
      </c>
      <c r="K6" s="10" t="n">
        <v>600</v>
      </c>
      <c r="L6" s="7" t="n">
        <f aca="false">(K6-H6)/H6</f>
        <v>-0.421162306089373</v>
      </c>
      <c r="M6" s="9" t="s">
        <v>23</v>
      </c>
    </row>
    <row r="7" customFormat="false" ht="15" hidden="false" customHeight="false" outlineLevel="0" collapsed="false">
      <c r="A7" s="4" t="s">
        <v>24</v>
      </c>
      <c r="B7" s="5" t="s">
        <v>21</v>
      </c>
      <c r="C7" s="6" t="s">
        <v>25</v>
      </c>
      <c r="D7" s="6" t="n">
        <v>5.4</v>
      </c>
      <c r="E7" s="6" t="n">
        <v>3.87</v>
      </c>
      <c r="F7" s="6" t="n">
        <v>3.93</v>
      </c>
      <c r="G7" s="7" t="n">
        <f aca="false">(F7-E7)/ABS(E7)</f>
        <v>0.0155038759689923</v>
      </c>
      <c r="H7" s="8" t="n">
        <v>474.02</v>
      </c>
      <c r="I7" s="10" t="n">
        <v>545</v>
      </c>
      <c r="J7" s="7" t="n">
        <f aca="false">(I7-H7)/H7</f>
        <v>0.149740517277752</v>
      </c>
      <c r="K7" s="10" t="n">
        <v>320</v>
      </c>
      <c r="L7" s="7" t="n">
        <f aca="false">(K7-H7)/H7</f>
        <v>-0.324922999029577</v>
      </c>
      <c r="M7" s="9" t="s">
        <v>26</v>
      </c>
    </row>
    <row r="8" customFormat="false" ht="15" hidden="false" customHeight="false" outlineLevel="0" collapsed="false">
      <c r="A8" s="4" t="s">
        <v>27</v>
      </c>
      <c r="B8" s="5" t="s">
        <v>16</v>
      </c>
      <c r="C8" s="6" t="s">
        <v>28</v>
      </c>
      <c r="D8" s="6" t="s">
        <v>29</v>
      </c>
      <c r="E8" s="6" t="n">
        <v>9.15</v>
      </c>
      <c r="F8" s="6" t="n">
        <v>9.4</v>
      </c>
      <c r="G8" s="7" t="n">
        <f aca="false">(F8-E8)/ABS(E8)</f>
        <v>0.0273224043715847</v>
      </c>
      <c r="H8" s="8" t="n">
        <v>212.38</v>
      </c>
      <c r="I8" s="10" t="n">
        <v>270</v>
      </c>
      <c r="J8" s="7" t="n">
        <f aca="false">(I8-H8)/H8</f>
        <v>0.27130614935493</v>
      </c>
      <c r="K8" s="10" t="n">
        <v>140</v>
      </c>
      <c r="L8" s="7" t="n">
        <f aca="false">(K8-H8)/H8</f>
        <v>-0.340804218852999</v>
      </c>
      <c r="M8" s="9" t="s">
        <v>30</v>
      </c>
    </row>
    <row r="9" customFormat="false" ht="15" hidden="false" customHeight="false" outlineLevel="0" collapsed="false">
      <c r="A9" s="4" t="s">
        <v>31</v>
      </c>
      <c r="B9" s="5" t="s">
        <v>21</v>
      </c>
      <c r="C9" s="6" t="s">
        <v>28</v>
      </c>
      <c r="D9" s="6" t="n">
        <v>0.36</v>
      </c>
      <c r="E9" s="6" t="n">
        <v>0.1</v>
      </c>
      <c r="F9" s="6" t="n">
        <v>0.44</v>
      </c>
      <c r="G9" s="7" t="n">
        <f aca="false">(F9-E9)/ABS(E9)</f>
        <v>3.4</v>
      </c>
      <c r="H9" s="8" t="n">
        <v>265.56</v>
      </c>
      <c r="I9" s="10" t="n">
        <v>330</v>
      </c>
      <c r="J9" s="7" t="n">
        <f aca="false">(I9-H9)/H9</f>
        <v>0.242657026660642</v>
      </c>
      <c r="K9" s="10" t="n">
        <v>120</v>
      </c>
      <c r="L9" s="7" t="n">
        <f aca="false">(K9-H9)/H9</f>
        <v>-0.548124717577949</v>
      </c>
      <c r="M9" s="9" t="s">
        <v>32</v>
      </c>
    </row>
    <row r="10" customFormat="false" ht="15" hidden="false" customHeight="false" outlineLevel="0" collapsed="false">
      <c r="A10" s="4" t="s">
        <v>33</v>
      </c>
      <c r="B10" s="5" t="s">
        <v>21</v>
      </c>
      <c r="C10" s="6" t="s">
        <v>34</v>
      </c>
      <c r="D10" s="6" t="n">
        <v>1.43</v>
      </c>
      <c r="E10" s="6" t="n">
        <v>1.01</v>
      </c>
      <c r="F10" s="6" t="n">
        <v>1.17</v>
      </c>
      <c r="G10" s="7" t="n">
        <f aca="false">(F10-E10)/ABS(E10)</f>
        <v>0.158415841584158</v>
      </c>
      <c r="H10" s="8" t="n">
        <v>288.49</v>
      </c>
      <c r="I10" s="10" t="n">
        <v>370</v>
      </c>
      <c r="J10" s="7" t="n">
        <f aca="false">(I10-H10)/H10</f>
        <v>0.282540122707893</v>
      </c>
      <c r="K10" s="10" t="n">
        <v>220</v>
      </c>
      <c r="L10" s="7" t="n">
        <f aca="false">(K10-H10)/H10</f>
        <v>-0.237408575687199</v>
      </c>
      <c r="M10" s="9"/>
    </row>
    <row r="11" customFormat="false" ht="15" hidden="false" customHeight="false" outlineLevel="0" collapsed="false">
      <c r="A11" s="4" t="s">
        <v>35</v>
      </c>
      <c r="B11" s="5" t="s">
        <v>21</v>
      </c>
      <c r="C11" s="6" t="s">
        <v>34</v>
      </c>
      <c r="D11" s="6" t="n">
        <v>1.68</v>
      </c>
      <c r="E11" s="6" t="n">
        <v>1.36</v>
      </c>
      <c r="F11" s="6" t="n">
        <v>1.47</v>
      </c>
      <c r="G11" s="7" t="n">
        <f aca="false">(F11-E11)/ABS(E11)</f>
        <v>0.0808823529411764</v>
      </c>
      <c r="H11" s="8" t="n">
        <v>315.68</v>
      </c>
      <c r="I11" s="10" t="n">
        <v>450</v>
      </c>
      <c r="J11" s="7" t="n">
        <f aca="false">(I11-H11)/H11</f>
        <v>0.425494171312722</v>
      </c>
      <c r="K11" s="10" t="n">
        <v>200</v>
      </c>
      <c r="L11" s="7" t="n">
        <f aca="false">(K11-H11)/H11</f>
        <v>-0.366447034972124</v>
      </c>
      <c r="M11" s="9" t="s">
        <v>36</v>
      </c>
    </row>
    <row r="12" customFormat="false" ht="15" hidden="false" customHeight="false" outlineLevel="0" collapsed="false">
      <c r="A12" s="4" t="s">
        <v>37</v>
      </c>
      <c r="B12" s="5" t="s">
        <v>38</v>
      </c>
      <c r="C12" s="6" t="s">
        <v>39</v>
      </c>
      <c r="D12" s="6" t="n">
        <v>7.26</v>
      </c>
      <c r="E12" s="6" t="n">
        <v>5.89</v>
      </c>
      <c r="F12" s="6" t="n">
        <v>6.84</v>
      </c>
      <c r="G12" s="7" t="n">
        <f aca="false">(F12-E12)/ABS(E12)</f>
        <v>0.161290322580645</v>
      </c>
      <c r="H12" s="8" t="n">
        <v>751.43</v>
      </c>
      <c r="I12" s="10" t="n">
        <v>1000</v>
      </c>
      <c r="J12" s="7" t="n">
        <f aca="false">(I12-H12)/H12</f>
        <v>0.330795949057131</v>
      </c>
      <c r="M12" s="9" t="s">
        <v>40</v>
      </c>
    </row>
    <row r="13" customFormat="false" ht="15" hidden="false" customHeight="false" outlineLevel="0" collapsed="false">
      <c r="A13" s="4" t="s">
        <v>41</v>
      </c>
      <c r="B13" s="5" t="s">
        <v>21</v>
      </c>
      <c r="C13" s="6" t="s">
        <v>42</v>
      </c>
      <c r="D13" s="6" t="n">
        <v>0.37</v>
      </c>
      <c r="E13" s="6" t="n">
        <v>0.31</v>
      </c>
      <c r="F13" s="6" t="n">
        <v>0.34</v>
      </c>
      <c r="G13" s="7" t="n">
        <f aca="false">(F13-E13)/ABS(E13)</f>
        <v>0.0967741935483872</v>
      </c>
      <c r="H13" s="8" t="n">
        <v>93.45</v>
      </c>
      <c r="I13" s="10" t="n">
        <v>140</v>
      </c>
      <c r="J13" s="7" t="n">
        <f aca="false">(I13-H13)/H13</f>
        <v>0.49812734082397</v>
      </c>
      <c r="K13" s="10" t="n">
        <v>85</v>
      </c>
      <c r="L13" s="7" t="n">
        <f aca="false">(K13-H13)/H13</f>
        <v>-0.0904226859283039</v>
      </c>
      <c r="M13" s="9" t="s">
        <v>43</v>
      </c>
    </row>
    <row r="14" customFormat="false" ht="15" hidden="false" customHeight="false" outlineLevel="0" collapsed="false">
      <c r="A14" s="4" t="s">
        <v>44</v>
      </c>
      <c r="B14" s="5" t="s">
        <v>21</v>
      </c>
      <c r="C14" s="6" t="s">
        <v>45</v>
      </c>
      <c r="D14" s="6" t="n">
        <v>5.71</v>
      </c>
      <c r="E14" s="6" t="n">
        <v>4.62</v>
      </c>
      <c r="F14" s="6" t="n">
        <v>5.54</v>
      </c>
      <c r="G14" s="7" t="n">
        <f aca="false">(F14-E14)/ABS(E14)</f>
        <v>0.199134199134199</v>
      </c>
      <c r="H14" s="8" t="n">
        <v>913.49</v>
      </c>
      <c r="I14" s="10" t="n">
        <v>1150</v>
      </c>
      <c r="J14" s="7" t="n">
        <f aca="false">(I14-H14)/H14</f>
        <v>0.258908143493634</v>
      </c>
      <c r="K14" s="10" t="n">
        <v>620</v>
      </c>
      <c r="L14" s="7" t="n">
        <f aca="false">(K14-H14)/H14</f>
        <v>-0.32128430524691</v>
      </c>
      <c r="M14" s="9" t="s">
        <v>46</v>
      </c>
    </row>
    <row r="15" customFormat="false" ht="15" hidden="false" customHeight="false" outlineLevel="0" collapsed="false">
      <c r="A15" s="4" t="s">
        <v>47</v>
      </c>
      <c r="B15" s="5" t="s">
        <v>21</v>
      </c>
      <c r="C15" s="6" t="s">
        <v>48</v>
      </c>
      <c r="D15" s="6" t="n">
        <v>0.86</v>
      </c>
      <c r="E15" s="6" t="n">
        <v>0.79</v>
      </c>
      <c r="F15" s="6" t="n">
        <v>0.87</v>
      </c>
      <c r="G15" s="7" t="n">
        <f aca="false">(F15-E15)/ABS(E15)</f>
        <v>0.10126582278481</v>
      </c>
      <c r="H15" s="8" t="n">
        <v>163.39</v>
      </c>
      <c r="I15" s="10" t="n">
        <v>185</v>
      </c>
      <c r="J15" s="7" t="n">
        <f aca="false">(I15-H15)/H15</f>
        <v>0.132260236244568</v>
      </c>
      <c r="K15" s="10" t="n">
        <v>90</v>
      </c>
      <c r="L15" s="7" t="n">
        <f aca="false">(K15-H15)/H15</f>
        <v>-0.449170695881021</v>
      </c>
      <c r="M15" s="9" t="s">
        <v>49</v>
      </c>
    </row>
    <row r="16" customFormat="false" ht="15" hidden="false" customHeight="false" outlineLevel="0" collapsed="false">
      <c r="A16" s="4" t="s">
        <v>50</v>
      </c>
      <c r="B16" s="5" t="s">
        <v>21</v>
      </c>
      <c r="C16" s="6" t="s">
        <v>45</v>
      </c>
      <c r="D16" s="6" t="n">
        <v>1.75</v>
      </c>
      <c r="E16" s="6" t="n">
        <v>1.73</v>
      </c>
      <c r="F16" s="6" t="n">
        <v>1.48</v>
      </c>
      <c r="G16" s="7" t="n">
        <f aca="false">(F16-E16)/ABS(E16)</f>
        <v>-0.144508670520231</v>
      </c>
      <c r="H16" s="8" t="n">
        <v>138.04</v>
      </c>
      <c r="I16" s="10" t="n">
        <v>185</v>
      </c>
      <c r="J16" s="7" t="n">
        <f aca="false">(I16-H16)/H16</f>
        <v>0.340191248913359</v>
      </c>
      <c r="K16" s="10" t="n">
        <v>110</v>
      </c>
      <c r="L16" s="7" t="n">
        <f aca="false">(K16-H16)/H16</f>
        <v>-0.203129527673138</v>
      </c>
      <c r="M16" s="9" t="s">
        <v>51</v>
      </c>
    </row>
    <row r="17" customFormat="false" ht="15" hidden="false" customHeight="false" outlineLevel="0" collapsed="false">
      <c r="A17" s="4" t="s">
        <v>52</v>
      </c>
      <c r="B17" s="5" t="s">
        <v>21</v>
      </c>
      <c r="C17" s="6" t="s">
        <v>53</v>
      </c>
      <c r="D17" s="6" t="n">
        <v>2.37</v>
      </c>
      <c r="E17" s="6" t="n">
        <v>2.6</v>
      </c>
      <c r="F17" s="6" t="n">
        <v>2.74</v>
      </c>
      <c r="G17" s="7" t="n">
        <f aca="false">(F17-E17)/ABS(E17)</f>
        <v>0.0538461538461539</v>
      </c>
      <c r="H17" s="8" t="n">
        <v>242.26</v>
      </c>
      <c r="I17" s="10" t="n">
        <v>385</v>
      </c>
      <c r="J17" s="7" t="n">
        <f aca="false">(I17-H17)/H17</f>
        <v>0.589201684141006</v>
      </c>
      <c r="K17" s="10" t="n">
        <v>220</v>
      </c>
      <c r="L17" s="7" t="n">
        <f aca="false">(K17-H17)/H17</f>
        <v>-0.0918847519194254</v>
      </c>
      <c r="M17" s="9" t="s">
        <v>54</v>
      </c>
    </row>
    <row r="18" customFormat="false" ht="15" hidden="false" customHeight="false" outlineLevel="0" collapsed="false">
      <c r="A18" s="4" t="s">
        <v>55</v>
      </c>
      <c r="B18" s="5" t="s">
        <v>21</v>
      </c>
      <c r="C18" s="6" t="s">
        <v>53</v>
      </c>
      <c r="D18" s="6" t="n">
        <v>-0.73</v>
      </c>
      <c r="E18" s="6" t="n">
        <v>-0.73</v>
      </c>
      <c r="F18" s="6" t="n">
        <v>-0.329</v>
      </c>
      <c r="G18" s="7" t="n">
        <f aca="false">(F18-E18)/ABS(E18)</f>
        <v>0.549315068493151</v>
      </c>
      <c r="H18" s="8" t="n">
        <v>197.04</v>
      </c>
      <c r="I18" s="10" t="n">
        <v>310</v>
      </c>
      <c r="J18" s="7" t="n">
        <f aca="false">(I18-H18)/H18</f>
        <v>0.57328461226147</v>
      </c>
      <c r="K18" s="10" t="n">
        <v>80</v>
      </c>
      <c r="L18" s="7" t="n">
        <f aca="false">(K18-H18)/H18</f>
        <v>-0.593991067803492</v>
      </c>
      <c r="M18" s="9" t="s">
        <v>56</v>
      </c>
    </row>
    <row r="19" customFormat="false" ht="15" hidden="false" customHeight="false" outlineLevel="0" collapsed="false">
      <c r="A19" s="4" t="s">
        <v>57</v>
      </c>
      <c r="B19" s="5" t="s">
        <v>21</v>
      </c>
      <c r="C19" s="6" t="s">
        <v>58</v>
      </c>
      <c r="D19" s="6" t="n">
        <v>2.21</v>
      </c>
      <c r="E19" s="6" t="n">
        <v>1.94</v>
      </c>
      <c r="F19" s="6" t="n">
        <v>2.89</v>
      </c>
      <c r="G19" s="7" t="n">
        <f aca="false">(F19-E19)/ABS(E19)</f>
        <v>0.489690721649485</v>
      </c>
      <c r="H19" s="8" t="n">
        <v>154.73</v>
      </c>
      <c r="I19" s="10" t="n">
        <v>230</v>
      </c>
      <c r="J19" s="7" t="n">
        <f aca="false">(I19-H19)/H19</f>
        <v>0.48646028565889</v>
      </c>
      <c r="K19" s="10" t="n">
        <v>145</v>
      </c>
      <c r="L19" s="7" t="n">
        <f aca="false">(K19-H19)/H19</f>
        <v>-0.0628837329541782</v>
      </c>
      <c r="M19" s="9" t="s">
        <v>59</v>
      </c>
    </row>
    <row r="20" customFormat="false" ht="15" hidden="false" customHeight="false" outlineLevel="0" collapsed="false">
      <c r="A20" s="4" t="s">
        <v>60</v>
      </c>
      <c r="B20" s="5" t="s">
        <v>16</v>
      </c>
      <c r="C20" s="6" t="s">
        <v>61</v>
      </c>
      <c r="D20" s="6" t="n">
        <v>33.38</v>
      </c>
      <c r="E20" s="6" t="n">
        <v>14.36</v>
      </c>
      <c r="F20" s="6" t="n">
        <v>23.41</v>
      </c>
      <c r="G20" s="7" t="n">
        <f aca="false">(F20-E20)/ABS(E20)</f>
        <v>0.630222841225627</v>
      </c>
      <c r="H20" s="8" t="n">
        <v>1506.37</v>
      </c>
      <c r="I20" s="10" t="n">
        <v>2000</v>
      </c>
      <c r="J20" s="7" t="n">
        <f aca="false">(I20-H20)/H20</f>
        <v>0.327695054999768</v>
      </c>
      <c r="M20" s="9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1" width="8"/>
    <col collapsed="false" customWidth="true" hidden="false" outlineLevel="0" max="2" min="2" style="11" width="18"/>
    <col collapsed="false" customWidth="true" hidden="false" outlineLevel="0" max="4" min="3" style="11" width="10"/>
    <col collapsed="false" customWidth="true" hidden="false" outlineLevel="0" max="7" min="5" style="11" width="12"/>
    <col collapsed="false" customWidth="true" hidden="false" outlineLevel="0" max="9" min="8" style="11" width="9"/>
    <col collapsed="false" customWidth="true" hidden="false" outlineLevel="0" max="10" min="10" style="11" width="8"/>
    <col collapsed="false" customWidth="true" hidden="false" outlineLevel="0" max="13" min="11" style="11" width="9"/>
    <col collapsed="false" customWidth="true" hidden="false" outlineLevel="0" max="17" min="14" style="11" width="12"/>
    <col collapsed="false" customWidth="true" hidden="false" outlineLevel="0" max="19" min="18" style="11" width="14"/>
    <col collapsed="false" customWidth="true" hidden="false" outlineLevel="0" max="20" min="20" style="11" width="30"/>
  </cols>
  <sheetData>
    <row r="1" customFormat="false" ht="36" hidden="false" customHeight="true" outlineLevel="0" collapsed="false">
      <c r="A1" s="12" t="s">
        <v>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customFormat="false" ht="19.5" hidden="false" customHeight="true" outlineLevel="0" collapsed="false">
      <c r="A2" s="13" t="s">
        <v>64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customFormat="false" ht="39.75" hidden="false" customHeight="true" outlineLevel="0" collapsed="false">
      <c r="A3" s="14" t="s">
        <v>2</v>
      </c>
      <c r="B3" s="14" t="s">
        <v>65</v>
      </c>
      <c r="C3" s="14" t="s">
        <v>66</v>
      </c>
      <c r="D3" s="14" t="s">
        <v>10</v>
      </c>
      <c r="E3" s="14" t="s">
        <v>67</v>
      </c>
      <c r="F3" s="14" t="s">
        <v>68</v>
      </c>
      <c r="G3" s="14" t="s">
        <v>69</v>
      </c>
      <c r="H3" s="14" t="s">
        <v>70</v>
      </c>
      <c r="I3" s="14" t="s">
        <v>71</v>
      </c>
      <c r="J3" s="14" t="s">
        <v>72</v>
      </c>
      <c r="K3" s="14" t="s">
        <v>21</v>
      </c>
      <c r="L3" s="14" t="s">
        <v>16</v>
      </c>
      <c r="M3" s="14" t="s">
        <v>73</v>
      </c>
      <c r="N3" s="14" t="s">
        <v>74</v>
      </c>
      <c r="O3" s="14" t="s">
        <v>75</v>
      </c>
      <c r="P3" s="14" t="s">
        <v>76</v>
      </c>
      <c r="Q3" s="14" t="s">
        <v>77</v>
      </c>
      <c r="R3" s="14" t="s">
        <v>78</v>
      </c>
      <c r="S3" s="14" t="s">
        <v>79</v>
      </c>
      <c r="T3" s="14" t="s">
        <v>80</v>
      </c>
    </row>
    <row r="4" customFormat="false" ht="21.75" hidden="false" customHeight="true" outlineLevel="0" collapsed="false">
      <c r="A4" s="15" t="s">
        <v>20</v>
      </c>
      <c r="B4" s="16" t="s">
        <v>81</v>
      </c>
      <c r="C4" s="17" t="n">
        <v>951.66</v>
      </c>
      <c r="D4" s="18" t="n">
        <v>1200</v>
      </c>
      <c r="E4" s="19" t="n">
        <v>0.26095454258874</v>
      </c>
      <c r="F4" s="17" t="n">
        <v>1119.95</v>
      </c>
      <c r="G4" s="20" t="n">
        <v>0.176838366643549</v>
      </c>
      <c r="H4" s="17" t="n">
        <v>1400</v>
      </c>
      <c r="I4" s="17" t="n">
        <v>714</v>
      </c>
      <c r="J4" s="21" t="n">
        <v>80.05</v>
      </c>
      <c r="K4" s="22" t="n">
        <v>21</v>
      </c>
      <c r="L4" s="22" t="n">
        <v>7</v>
      </c>
      <c r="M4" s="22" t="n">
        <v>0</v>
      </c>
      <c r="N4" s="23" t="n">
        <v>255.7</v>
      </c>
      <c r="O4" s="24" t="n">
        <v>0.0844</v>
      </c>
      <c r="P4" s="24" t="n">
        <v>0.1993</v>
      </c>
      <c r="Q4" s="17" t="n">
        <v>1.98</v>
      </c>
      <c r="R4" s="23" t="n">
        <v>9339</v>
      </c>
      <c r="S4" s="16" t="s">
        <v>82</v>
      </c>
      <c r="T4" s="25" t="s">
        <v>83</v>
      </c>
    </row>
    <row r="5" customFormat="false" ht="21.75" hidden="false" customHeight="true" outlineLevel="0" collapsed="false">
      <c r="A5" s="15" t="s">
        <v>47</v>
      </c>
      <c r="B5" s="26" t="s">
        <v>84</v>
      </c>
      <c r="C5" s="27" t="n">
        <v>164.9</v>
      </c>
      <c r="D5" s="28" t="n">
        <v>185</v>
      </c>
      <c r="E5" s="29" t="n">
        <v>0.121892055791389</v>
      </c>
      <c r="F5" s="27" t="n">
        <v>183.3</v>
      </c>
      <c r="G5" s="30" t="n">
        <v>0.111582777440873</v>
      </c>
      <c r="H5" s="27" t="n">
        <v>200</v>
      </c>
      <c r="I5" s="27" t="n">
        <v>164</v>
      </c>
      <c r="J5" s="31" t="n">
        <v>1.69999999999999</v>
      </c>
      <c r="K5" s="32" t="n">
        <v>39</v>
      </c>
      <c r="L5" s="32" t="n">
        <v>13</v>
      </c>
      <c r="M5" s="32" t="n">
        <v>0</v>
      </c>
      <c r="N5" s="33" t="n">
        <v>207.6</v>
      </c>
      <c r="O5" s="34" t="n">
        <v>0.434</v>
      </c>
      <c r="P5" s="34" t="n">
        <v>0.6354</v>
      </c>
      <c r="Q5" s="27" t="n">
        <v>0.87</v>
      </c>
      <c r="R5" s="33" t="n">
        <v>2709</v>
      </c>
      <c r="S5" s="26" t="s">
        <v>85</v>
      </c>
      <c r="T5" s="35" t="s">
        <v>86</v>
      </c>
    </row>
    <row r="6" customFormat="false" ht="21.75" hidden="false" customHeight="true" outlineLevel="0" collapsed="false">
      <c r="A6" s="15" t="s">
        <v>50</v>
      </c>
      <c r="B6" s="16" t="s">
        <v>81</v>
      </c>
      <c r="C6" s="17" t="n">
        <v>132.05</v>
      </c>
      <c r="D6" s="18" t="n">
        <v>185</v>
      </c>
      <c r="E6" s="19" t="n">
        <v>0.400984475577433</v>
      </c>
      <c r="F6" s="17" t="n">
        <v>194.5</v>
      </c>
      <c r="G6" s="20" t="n">
        <v>0.472926921620598</v>
      </c>
      <c r="H6" s="17" t="n">
        <v>211</v>
      </c>
      <c r="I6" s="17" t="n">
        <v>162</v>
      </c>
      <c r="J6" s="36" t="n">
        <v>-9.5</v>
      </c>
      <c r="K6" s="22" t="n">
        <v>17</v>
      </c>
      <c r="L6" s="22" t="n">
        <v>7</v>
      </c>
      <c r="M6" s="37" t="n">
        <v>2</v>
      </c>
      <c r="N6" s="23" t="n">
        <v>27.9</v>
      </c>
      <c r="O6" s="24" t="n">
        <v>0.0935</v>
      </c>
      <c r="P6" s="24" t="n">
        <v>0.1707</v>
      </c>
      <c r="Q6" s="38" t="s">
        <v>87</v>
      </c>
      <c r="R6" s="38" t="s">
        <v>87</v>
      </c>
      <c r="S6" s="16" t="s">
        <v>88</v>
      </c>
      <c r="T6" s="25" t="s">
        <v>89</v>
      </c>
    </row>
    <row r="7" customFormat="false" ht="21.75" hidden="false" customHeight="true" outlineLevel="0" collapsed="false">
      <c r="A7" s="15" t="s">
        <v>52</v>
      </c>
      <c r="B7" s="26" t="s">
        <v>81</v>
      </c>
      <c r="C7" s="27" t="n">
        <v>262.66</v>
      </c>
      <c r="D7" s="28" t="n">
        <v>385</v>
      </c>
      <c r="E7" s="19" t="n">
        <v>0.46577324297571</v>
      </c>
      <c r="F7" s="27" t="n">
        <v>391.43</v>
      </c>
      <c r="G7" s="30" t="n">
        <v>0.490253559735019</v>
      </c>
      <c r="H7" s="27" t="n">
        <v>460</v>
      </c>
      <c r="I7" s="27" t="n">
        <v>310</v>
      </c>
      <c r="J7" s="39" t="n">
        <v>-6.43000000000001</v>
      </c>
      <c r="K7" s="32" t="n">
        <v>15</v>
      </c>
      <c r="L7" s="32" t="n">
        <v>5</v>
      </c>
      <c r="M7" s="32" t="n">
        <v>0</v>
      </c>
      <c r="N7" s="33" t="n">
        <v>94.9</v>
      </c>
      <c r="O7" s="34" t="n">
        <v>0.236</v>
      </c>
      <c r="P7" s="34" t="n">
        <v>0.7792</v>
      </c>
      <c r="Q7" s="40" t="s">
        <v>87</v>
      </c>
      <c r="R7" s="40" t="s">
        <v>87</v>
      </c>
      <c r="S7" s="26" t="s">
        <v>88</v>
      </c>
      <c r="T7" s="35" t="s">
        <v>90</v>
      </c>
    </row>
    <row r="8" customFormat="false" ht="21.75" hidden="false" customHeight="true" outlineLevel="0" collapsed="false">
      <c r="A8" s="15" t="s">
        <v>41</v>
      </c>
      <c r="B8" s="16" t="s">
        <v>91</v>
      </c>
      <c r="C8" s="17" t="n">
        <v>113.94</v>
      </c>
      <c r="D8" s="18" t="n">
        <v>140</v>
      </c>
      <c r="E8" s="19" t="n">
        <v>0.228716868527295</v>
      </c>
      <c r="F8" s="17" t="n">
        <v>140.25</v>
      </c>
      <c r="G8" s="20" t="n">
        <v>0.230911005792522</v>
      </c>
      <c r="H8" s="17" t="n">
        <v>175</v>
      </c>
      <c r="I8" s="17" t="n">
        <v>108</v>
      </c>
      <c r="J8" s="36" t="n">
        <v>-0.25</v>
      </c>
      <c r="K8" s="22" t="n">
        <v>13</v>
      </c>
      <c r="L8" s="22" t="n">
        <v>4</v>
      </c>
      <c r="M8" s="37" t="n">
        <v>2</v>
      </c>
      <c r="N8" s="23" t="n">
        <v>49.6</v>
      </c>
      <c r="O8" s="24" t="n">
        <v>0.2314</v>
      </c>
      <c r="P8" s="24" t="n">
        <v>0.3195</v>
      </c>
      <c r="Q8" s="17" t="n">
        <v>0.34</v>
      </c>
      <c r="R8" s="23" t="n">
        <v>607.5</v>
      </c>
      <c r="S8" s="16" t="s">
        <v>92</v>
      </c>
      <c r="T8" s="25" t="s">
        <v>93</v>
      </c>
    </row>
    <row r="9" customFormat="false" ht="21.75" hidden="false" customHeight="true" outlineLevel="0" collapsed="false">
      <c r="A9" s="15" t="s">
        <v>94</v>
      </c>
      <c r="B9" s="26" t="s">
        <v>84</v>
      </c>
      <c r="C9" s="27" t="n">
        <v>413.9</v>
      </c>
      <c r="D9" s="28" t="n">
        <v>560</v>
      </c>
      <c r="E9" s="19" t="n">
        <v>0.3529838125151</v>
      </c>
      <c r="F9" s="27" t="n">
        <v>489.8</v>
      </c>
      <c r="G9" s="30" t="n">
        <v>0.183377627446243</v>
      </c>
      <c r="H9" s="27" t="n">
        <v>582</v>
      </c>
      <c r="I9" s="27" t="n">
        <v>400</v>
      </c>
      <c r="J9" s="41" t="n">
        <v>70.2</v>
      </c>
      <c r="K9" s="32" t="n">
        <v>51</v>
      </c>
      <c r="L9" s="32" t="n">
        <v>7</v>
      </c>
      <c r="M9" s="32" t="n">
        <v>0</v>
      </c>
      <c r="N9" s="33" t="n">
        <v>1959.7</v>
      </c>
      <c r="O9" s="34" t="n">
        <v>0.57</v>
      </c>
      <c r="P9" s="34" t="n">
        <v>0.6709</v>
      </c>
      <c r="Q9" s="27" t="n">
        <v>2.44</v>
      </c>
      <c r="R9" s="33" t="n">
        <v>22187</v>
      </c>
      <c r="S9" s="26" t="s">
        <v>95</v>
      </c>
      <c r="T9" s="35" t="s">
        <v>96</v>
      </c>
    </row>
    <row r="10" customFormat="false" ht="21.75" hidden="false" customHeight="true" outlineLevel="0" collapsed="false">
      <c r="A10" s="15" t="s">
        <v>97</v>
      </c>
      <c r="B10" s="16" t="s">
        <v>84</v>
      </c>
      <c r="C10" s="17" t="n">
        <v>308.83</v>
      </c>
      <c r="D10" s="18" t="n">
        <v>370</v>
      </c>
      <c r="E10" s="42" t="n">
        <v>0.198070135673348</v>
      </c>
      <c r="F10" s="17" t="n">
        <v>231.52</v>
      </c>
      <c r="G10" s="43" t="n">
        <v>-0.250331897807855</v>
      </c>
      <c r="H10" s="17" t="n">
        <v>321</v>
      </c>
      <c r="I10" s="17" t="n">
        <v>155</v>
      </c>
      <c r="J10" s="21" t="n">
        <v>138.48</v>
      </c>
      <c r="K10" s="22" t="n">
        <v>60</v>
      </c>
      <c r="L10" s="22" t="n">
        <v>12</v>
      </c>
      <c r="M10" s="37" t="n">
        <v>1</v>
      </c>
      <c r="N10" s="23" t="n">
        <v>270.2</v>
      </c>
      <c r="O10" s="24" t="n">
        <v>0.5267</v>
      </c>
      <c r="P10" s="24" t="n">
        <v>0.5064</v>
      </c>
      <c r="Q10" s="17" t="n">
        <v>0.8</v>
      </c>
      <c r="R10" s="23" t="n">
        <v>2417.8</v>
      </c>
      <c r="S10" s="16" t="s">
        <v>98</v>
      </c>
      <c r="T10" s="25" t="s">
        <v>99</v>
      </c>
    </row>
    <row r="11" customFormat="false" ht="21.75" hidden="false" customHeight="true" outlineLevel="0" collapsed="false">
      <c r="A11" s="15" t="s">
        <v>33</v>
      </c>
      <c r="B11" s="26" t="s">
        <v>100</v>
      </c>
      <c r="C11" s="27" t="n">
        <v>318.31</v>
      </c>
      <c r="D11" s="28" t="n">
        <v>370</v>
      </c>
      <c r="E11" s="29" t="n">
        <v>0.162388866199617</v>
      </c>
      <c r="F11" s="27" t="n">
        <v>371.67</v>
      </c>
      <c r="G11" s="30" t="n">
        <v>0.167635324055166</v>
      </c>
      <c r="H11" s="27" t="n">
        <v>500</v>
      </c>
      <c r="I11" s="27" t="n">
        <v>277</v>
      </c>
      <c r="J11" s="39" t="n">
        <v>-1.67000000000002</v>
      </c>
      <c r="K11" s="32" t="n">
        <v>18</v>
      </c>
      <c r="L11" s="32" t="n">
        <v>1</v>
      </c>
      <c r="M11" s="32" t="n">
        <v>0</v>
      </c>
      <c r="N11" s="33" t="n">
        <v>122.3</v>
      </c>
      <c r="O11" s="34" t="n">
        <v>0.2166</v>
      </c>
      <c r="P11" s="34" t="n">
        <v>0.3616</v>
      </c>
      <c r="Q11" s="27" t="n">
        <v>1.17</v>
      </c>
      <c r="R11" s="33" t="n">
        <v>2649.5</v>
      </c>
      <c r="S11" s="26" t="s">
        <v>101</v>
      </c>
      <c r="T11" s="35" t="s">
        <v>102</v>
      </c>
    </row>
    <row r="12" customFormat="false" ht="21.75" hidden="false" customHeight="true" outlineLevel="0" collapsed="false">
      <c r="A12" s="15" t="s">
        <v>31</v>
      </c>
      <c r="B12" s="16" t="s">
        <v>81</v>
      </c>
      <c r="C12" s="17" t="n">
        <v>283.32</v>
      </c>
      <c r="D12" s="18" t="n">
        <v>330</v>
      </c>
      <c r="E12" s="42" t="n">
        <v>0.164760694620923</v>
      </c>
      <c r="F12" s="17" t="n">
        <v>217.67</v>
      </c>
      <c r="G12" s="43" t="n">
        <v>-0.231716786672314</v>
      </c>
      <c r="H12" s="17" t="n">
        <v>324</v>
      </c>
      <c r="I12" s="17" t="n">
        <v>68</v>
      </c>
      <c r="J12" s="21" t="n">
        <v>112.33</v>
      </c>
      <c r="K12" s="22" t="n">
        <v>16</v>
      </c>
      <c r="L12" s="22" t="n">
        <v>12</v>
      </c>
      <c r="M12" s="37" t="n">
        <v>3</v>
      </c>
      <c r="N12" s="23" t="n">
        <v>80.6</v>
      </c>
      <c r="O12" s="24" t="n">
        <v>0.0363</v>
      </c>
      <c r="P12" s="24" t="n">
        <v>0.3111</v>
      </c>
      <c r="Q12" s="17" t="n">
        <v>0.44</v>
      </c>
      <c r="R12" s="23" t="n">
        <v>751.1</v>
      </c>
      <c r="S12" s="16" t="s">
        <v>92</v>
      </c>
      <c r="T12" s="25" t="s">
        <v>103</v>
      </c>
    </row>
    <row r="13" customFormat="false" ht="21.75" hidden="false" customHeight="true" outlineLevel="0" collapsed="false">
      <c r="A13" s="15" t="s">
        <v>57</v>
      </c>
      <c r="B13" s="26" t="s">
        <v>81</v>
      </c>
      <c r="C13" s="27" t="n">
        <v>151.03</v>
      </c>
      <c r="D13" s="28" t="n">
        <v>230</v>
      </c>
      <c r="E13" s="19" t="n">
        <v>0.522876249751705</v>
      </c>
      <c r="F13" s="27" t="n">
        <v>227.78</v>
      </c>
      <c r="G13" s="30" t="n">
        <v>0.508177183341058</v>
      </c>
      <c r="H13" s="27" t="n">
        <v>293</v>
      </c>
      <c r="I13" s="27" t="n">
        <v>190</v>
      </c>
      <c r="J13" s="31" t="n">
        <v>2.22</v>
      </c>
      <c r="K13" s="32" t="n">
        <v>20</v>
      </c>
      <c r="L13" s="32" t="n">
        <v>2</v>
      </c>
      <c r="M13" s="32" t="n">
        <v>0</v>
      </c>
      <c r="N13" s="33" t="n">
        <v>50.9</v>
      </c>
      <c r="O13" s="34" t="n">
        <v>0.3413</v>
      </c>
      <c r="P13" s="34" t="n">
        <v>0.1272</v>
      </c>
      <c r="Q13" s="40" t="s">
        <v>87</v>
      </c>
      <c r="R13" s="40" t="s">
        <v>87</v>
      </c>
      <c r="S13" s="26" t="s">
        <v>88</v>
      </c>
      <c r="T13" s="35" t="s">
        <v>104</v>
      </c>
    </row>
    <row r="15" customFormat="false" ht="15" hidden="false" customHeight="true" outlineLevel="0" collapsed="false">
      <c r="A15" s="44" t="s">
        <v>105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</row>
    <row r="16" customFormat="false" ht="15" hidden="false" customHeight="true" outlineLevel="0" collapsed="false">
      <c r="A16" s="45" t="s">
        <v>106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</row>
  </sheetData>
  <mergeCells count="4">
    <mergeCell ref="A1:T1"/>
    <mergeCell ref="A2:T2"/>
    <mergeCell ref="A15:T15"/>
    <mergeCell ref="A16:T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1" width="9"/>
    <col collapsed="false" customWidth="true" hidden="false" outlineLevel="0" max="2" min="2" style="11" width="16"/>
    <col collapsed="false" customWidth="true" hidden="false" outlineLevel="0" max="4" min="3" style="11" width="9"/>
    <col collapsed="false" customWidth="true" hidden="false" outlineLevel="0" max="5" min="5" style="11" width="11"/>
    <col collapsed="false" customWidth="true" hidden="false" outlineLevel="0" max="6" min="6" style="11" width="9"/>
    <col collapsed="false" customWidth="true" hidden="false" outlineLevel="0" max="7" min="7" style="11" width="11"/>
    <col collapsed="false" customWidth="true" hidden="false" outlineLevel="0" max="8" min="8" style="11" width="9"/>
    <col collapsed="false" customWidth="true" hidden="false" outlineLevel="0" max="9" min="9" style="11" width="11"/>
    <col collapsed="false" customWidth="true" hidden="false" outlineLevel="0" max="10" min="10" style="11" width="9"/>
    <col collapsed="false" customWidth="true" hidden="false" outlineLevel="0" max="12" min="11" style="11" width="11"/>
    <col collapsed="false" customWidth="true" hidden="false" outlineLevel="0" max="13" min="13" style="11" width="9"/>
    <col collapsed="false" customWidth="true" hidden="false" outlineLevel="0" max="15" min="14" style="11" width="11"/>
    <col collapsed="false" customWidth="true" hidden="false" outlineLevel="0" max="16" min="16" style="11" width="9"/>
    <col collapsed="false" customWidth="true" hidden="false" outlineLevel="0" max="17" min="17" style="11" width="10"/>
    <col collapsed="false" customWidth="true" hidden="false" outlineLevel="0" max="18" min="18" style="11" width="11"/>
  </cols>
  <sheetData>
    <row r="1" customFormat="false" ht="36" hidden="false" customHeight="true" outlineLevel="0" collapsed="false">
      <c r="A1" s="46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customFormat="false" ht="18" hidden="false" customHeight="true" outlineLevel="0" collapsed="false">
      <c r="A2" s="47" t="s">
        <v>108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customFormat="false" ht="18" hidden="false" customHeight="true" outlineLevel="0" collapsed="false">
      <c r="C3" s="48" t="s">
        <v>109</v>
      </c>
      <c r="D3" s="48"/>
      <c r="E3" s="49" t="s">
        <v>110</v>
      </c>
      <c r="F3" s="49"/>
      <c r="G3" s="49" t="s">
        <v>111</v>
      </c>
      <c r="H3" s="49"/>
      <c r="I3" s="49" t="s">
        <v>112</v>
      </c>
      <c r="J3" s="49"/>
      <c r="K3" s="48" t="s">
        <v>113</v>
      </c>
      <c r="L3" s="48"/>
      <c r="M3" s="48"/>
      <c r="N3" s="48" t="s">
        <v>114</v>
      </c>
      <c r="O3" s="48"/>
      <c r="P3" s="48"/>
      <c r="Q3" s="50" t="s">
        <v>115</v>
      </c>
      <c r="R3" s="50"/>
    </row>
    <row r="4" customFormat="false" ht="36" hidden="false" customHeight="true" outlineLevel="0" collapsed="false">
      <c r="A4" s="51" t="s">
        <v>2</v>
      </c>
      <c r="B4" s="51" t="s">
        <v>65</v>
      </c>
      <c r="C4" s="51" t="s">
        <v>116</v>
      </c>
      <c r="D4" s="51" t="s">
        <v>10</v>
      </c>
      <c r="E4" s="52" t="s">
        <v>117</v>
      </c>
      <c r="F4" s="52" t="s">
        <v>118</v>
      </c>
      <c r="G4" s="52" t="s">
        <v>117</v>
      </c>
      <c r="H4" s="52" t="s">
        <v>118</v>
      </c>
      <c r="I4" s="52" t="s">
        <v>117</v>
      </c>
      <c r="J4" s="52" t="s">
        <v>118</v>
      </c>
      <c r="K4" s="52" t="s">
        <v>117</v>
      </c>
      <c r="L4" s="53" t="s">
        <v>119</v>
      </c>
      <c r="M4" s="52" t="s">
        <v>118</v>
      </c>
      <c r="N4" s="52" t="s">
        <v>117</v>
      </c>
      <c r="O4" s="53" t="s">
        <v>119</v>
      </c>
      <c r="P4" s="52" t="s">
        <v>118</v>
      </c>
      <c r="Q4" s="53" t="s">
        <v>120</v>
      </c>
      <c r="R4" s="52" t="s">
        <v>121</v>
      </c>
    </row>
    <row r="5" customFormat="false" ht="19.5" hidden="false" customHeight="true" outlineLevel="0" collapsed="false">
      <c r="A5" s="15" t="s">
        <v>20</v>
      </c>
      <c r="B5" s="54" t="s">
        <v>81</v>
      </c>
      <c r="C5" s="17" t="n">
        <v>951.66</v>
      </c>
      <c r="D5" s="18" t="n">
        <v>1200</v>
      </c>
      <c r="E5" s="55"/>
      <c r="F5" s="56"/>
      <c r="G5" s="55"/>
      <c r="H5" s="56"/>
      <c r="I5" s="55"/>
      <c r="J5" s="56"/>
      <c r="K5" s="55"/>
      <c r="L5" s="57"/>
      <c r="M5" s="56"/>
      <c r="N5" s="55"/>
      <c r="O5" s="57"/>
      <c r="P5" s="56"/>
      <c r="Q5" s="58" t="n">
        <v>1119.95</v>
      </c>
      <c r="R5" s="36" t="n">
        <f aca="false">D5-Q5</f>
        <v>80.05</v>
      </c>
    </row>
    <row r="6" customFormat="false" ht="19.5" hidden="false" customHeight="true" outlineLevel="0" collapsed="false">
      <c r="A6" s="15" t="s">
        <v>47</v>
      </c>
      <c r="B6" s="59" t="s">
        <v>84</v>
      </c>
      <c r="C6" s="27" t="n">
        <v>164.9</v>
      </c>
      <c r="D6" s="28" t="n">
        <v>185</v>
      </c>
      <c r="E6" s="55"/>
      <c r="F6" s="56"/>
      <c r="G6" s="55"/>
      <c r="H6" s="56"/>
      <c r="I6" s="55"/>
      <c r="J6" s="56"/>
      <c r="K6" s="55"/>
      <c r="L6" s="57"/>
      <c r="M6" s="56"/>
      <c r="N6" s="55"/>
      <c r="O6" s="57"/>
      <c r="P6" s="56"/>
      <c r="Q6" s="58" t="n">
        <v>183.3</v>
      </c>
      <c r="R6" s="39" t="n">
        <f aca="false">D6-Q6</f>
        <v>1.69999999999999</v>
      </c>
    </row>
    <row r="7" customFormat="false" ht="19.5" hidden="false" customHeight="true" outlineLevel="0" collapsed="false">
      <c r="A7" s="15" t="s">
        <v>50</v>
      </c>
      <c r="B7" s="54" t="s">
        <v>81</v>
      </c>
      <c r="C7" s="17" t="n">
        <v>132.05</v>
      </c>
      <c r="D7" s="18" t="n">
        <v>185</v>
      </c>
      <c r="E7" s="55"/>
      <c r="F7" s="56"/>
      <c r="G7" s="55"/>
      <c r="H7" s="56"/>
      <c r="I7" s="55"/>
      <c r="J7" s="56"/>
      <c r="K7" s="55"/>
      <c r="L7" s="57"/>
      <c r="M7" s="56"/>
      <c r="N7" s="55"/>
      <c r="O7" s="57"/>
      <c r="P7" s="56"/>
      <c r="Q7" s="58" t="n">
        <v>194.5</v>
      </c>
      <c r="R7" s="36" t="n">
        <f aca="false">D7-Q7</f>
        <v>-9.5</v>
      </c>
    </row>
    <row r="8" customFormat="false" ht="19.5" hidden="false" customHeight="true" outlineLevel="0" collapsed="false">
      <c r="A8" s="15" t="s">
        <v>52</v>
      </c>
      <c r="B8" s="59" t="s">
        <v>81</v>
      </c>
      <c r="C8" s="27" t="n">
        <v>262.66</v>
      </c>
      <c r="D8" s="28" t="n">
        <v>385</v>
      </c>
      <c r="E8" s="55"/>
      <c r="F8" s="56"/>
      <c r="G8" s="55"/>
      <c r="H8" s="56"/>
      <c r="I8" s="55"/>
      <c r="J8" s="56"/>
      <c r="K8" s="55"/>
      <c r="L8" s="57"/>
      <c r="M8" s="56"/>
      <c r="N8" s="55"/>
      <c r="O8" s="57"/>
      <c r="P8" s="56"/>
      <c r="Q8" s="58" t="n">
        <v>391.43</v>
      </c>
      <c r="R8" s="39" t="n">
        <f aca="false">D8-Q8</f>
        <v>-6.43000000000001</v>
      </c>
    </row>
    <row r="9" customFormat="false" ht="19.5" hidden="false" customHeight="true" outlineLevel="0" collapsed="false">
      <c r="A9" s="15" t="s">
        <v>41</v>
      </c>
      <c r="B9" s="54" t="s">
        <v>91</v>
      </c>
      <c r="C9" s="17" t="n">
        <v>113.94</v>
      </c>
      <c r="D9" s="18" t="n">
        <v>140</v>
      </c>
      <c r="E9" s="55"/>
      <c r="F9" s="56"/>
      <c r="G9" s="55"/>
      <c r="H9" s="56"/>
      <c r="I9" s="55"/>
      <c r="J9" s="56"/>
      <c r="K9" s="55"/>
      <c r="L9" s="57"/>
      <c r="M9" s="56"/>
      <c r="N9" s="55"/>
      <c r="O9" s="57"/>
      <c r="P9" s="56"/>
      <c r="Q9" s="58" t="n">
        <v>140.25</v>
      </c>
      <c r="R9" s="36" t="n">
        <f aca="false">D9-Q9</f>
        <v>-0.25</v>
      </c>
    </row>
    <row r="10" customFormat="false" ht="19.5" hidden="false" customHeight="true" outlineLevel="0" collapsed="false">
      <c r="A10" s="15" t="s">
        <v>94</v>
      </c>
      <c r="B10" s="59" t="s">
        <v>84</v>
      </c>
      <c r="C10" s="27" t="n">
        <v>413.9</v>
      </c>
      <c r="D10" s="28" t="n">
        <v>560</v>
      </c>
      <c r="E10" s="55"/>
      <c r="F10" s="56"/>
      <c r="G10" s="55"/>
      <c r="H10" s="56"/>
      <c r="I10" s="55"/>
      <c r="J10" s="56"/>
      <c r="K10" s="55"/>
      <c r="L10" s="57"/>
      <c r="M10" s="56"/>
      <c r="N10" s="55"/>
      <c r="O10" s="57"/>
      <c r="P10" s="56"/>
      <c r="Q10" s="58" t="n">
        <v>489.8</v>
      </c>
      <c r="R10" s="39" t="n">
        <f aca="false">D10-Q10</f>
        <v>70.2</v>
      </c>
    </row>
    <row r="11" customFormat="false" ht="19.5" hidden="false" customHeight="true" outlineLevel="0" collapsed="false">
      <c r="A11" s="15" t="s">
        <v>97</v>
      </c>
      <c r="B11" s="54" t="s">
        <v>84</v>
      </c>
      <c r="C11" s="17" t="n">
        <v>308.83</v>
      </c>
      <c r="D11" s="18" t="n">
        <v>370</v>
      </c>
      <c r="E11" s="55"/>
      <c r="F11" s="56"/>
      <c r="G11" s="55"/>
      <c r="H11" s="56"/>
      <c r="I11" s="55"/>
      <c r="J11" s="56"/>
      <c r="K11" s="55"/>
      <c r="L11" s="57"/>
      <c r="M11" s="56"/>
      <c r="N11" s="55"/>
      <c r="O11" s="57"/>
      <c r="P11" s="56"/>
      <c r="Q11" s="58" t="n">
        <v>231.52</v>
      </c>
      <c r="R11" s="36" t="n">
        <f aca="false">D11-Q11</f>
        <v>138.48</v>
      </c>
    </row>
    <row r="12" customFormat="false" ht="19.5" hidden="false" customHeight="true" outlineLevel="0" collapsed="false">
      <c r="A12" s="15" t="s">
        <v>33</v>
      </c>
      <c r="B12" s="59" t="s">
        <v>100</v>
      </c>
      <c r="C12" s="27" t="n">
        <v>318.31</v>
      </c>
      <c r="D12" s="28" t="n">
        <v>370</v>
      </c>
      <c r="E12" s="55"/>
      <c r="F12" s="56"/>
      <c r="G12" s="55"/>
      <c r="H12" s="56"/>
      <c r="I12" s="55"/>
      <c r="J12" s="56"/>
      <c r="K12" s="55"/>
      <c r="L12" s="57"/>
      <c r="M12" s="56"/>
      <c r="N12" s="55"/>
      <c r="O12" s="57"/>
      <c r="P12" s="56"/>
      <c r="Q12" s="58" t="n">
        <v>371.67</v>
      </c>
      <c r="R12" s="39" t="n">
        <f aca="false">D12-Q12</f>
        <v>-1.67000000000002</v>
      </c>
    </row>
    <row r="13" customFormat="false" ht="19.5" hidden="false" customHeight="true" outlineLevel="0" collapsed="false">
      <c r="A13" s="15" t="s">
        <v>31</v>
      </c>
      <c r="B13" s="54" t="s">
        <v>81</v>
      </c>
      <c r="C13" s="17" t="n">
        <v>283.32</v>
      </c>
      <c r="D13" s="18" t="n">
        <v>330</v>
      </c>
      <c r="E13" s="55"/>
      <c r="F13" s="56"/>
      <c r="G13" s="55"/>
      <c r="H13" s="56"/>
      <c r="I13" s="55"/>
      <c r="J13" s="56"/>
      <c r="K13" s="55"/>
      <c r="L13" s="57"/>
      <c r="M13" s="56"/>
      <c r="N13" s="55"/>
      <c r="O13" s="57"/>
      <c r="P13" s="56"/>
      <c r="Q13" s="58" t="n">
        <v>217.67</v>
      </c>
      <c r="R13" s="36" t="n">
        <f aca="false">D13-Q13</f>
        <v>112.33</v>
      </c>
    </row>
    <row r="14" customFormat="false" ht="19.5" hidden="false" customHeight="true" outlineLevel="0" collapsed="false">
      <c r="A14" s="15" t="s">
        <v>57</v>
      </c>
      <c r="B14" s="59" t="s">
        <v>81</v>
      </c>
      <c r="C14" s="27" t="n">
        <v>151.03</v>
      </c>
      <c r="D14" s="28" t="n">
        <v>230</v>
      </c>
      <c r="E14" s="55"/>
      <c r="F14" s="56"/>
      <c r="G14" s="55"/>
      <c r="H14" s="56"/>
      <c r="I14" s="55"/>
      <c r="J14" s="56"/>
      <c r="K14" s="55"/>
      <c r="L14" s="57"/>
      <c r="M14" s="56"/>
      <c r="N14" s="55"/>
      <c r="O14" s="57"/>
      <c r="P14" s="56"/>
      <c r="Q14" s="58" t="n">
        <v>227.78</v>
      </c>
      <c r="R14" s="39" t="n">
        <f aca="false">D14-Q14</f>
        <v>2.22</v>
      </c>
    </row>
    <row r="16" customFormat="false" ht="19.5" hidden="false" customHeight="true" outlineLevel="0" collapsed="false">
      <c r="A16" s="60" t="s">
        <v>122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</row>
    <row r="17" customFormat="false" ht="15.75" hidden="false" customHeight="true" outlineLevel="0" collapsed="false">
      <c r="A17" s="61" t="s">
        <v>123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</row>
    <row r="18" customFormat="false" ht="15.75" hidden="false" customHeight="true" outlineLevel="0" collapsed="false">
      <c r="A18" s="62" t="s">
        <v>124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</row>
    <row r="19" customFormat="false" ht="15.75" hidden="false" customHeight="true" outlineLevel="0" collapsed="false">
      <c r="A19" s="61" t="s">
        <v>125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</row>
    <row r="20" customFormat="false" ht="15.75" hidden="false" customHeight="true" outlineLevel="0" collapsed="false">
      <c r="A20" s="62" t="s">
        <v>126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</row>
    <row r="21" customFormat="false" ht="15.75" hidden="false" customHeight="true" outlineLevel="0" collapsed="false">
      <c r="A21" s="61" t="s">
        <v>127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</row>
    <row r="22" customFormat="false" ht="15.75" hidden="false" customHeight="true" outlineLevel="0" collapsed="false">
      <c r="A22" s="62" t="s">
        <v>128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</row>
    <row r="24" customFormat="false" ht="15" hidden="false" customHeight="true" outlineLevel="0" collapsed="false">
      <c r="A24" s="45" t="s">
        <v>129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</row>
  </sheetData>
  <mergeCells count="17">
    <mergeCell ref="A1:R1"/>
    <mergeCell ref="A2:R2"/>
    <mergeCell ref="C3:D3"/>
    <mergeCell ref="E3:F3"/>
    <mergeCell ref="G3:H3"/>
    <mergeCell ref="I3:J3"/>
    <mergeCell ref="K3:M3"/>
    <mergeCell ref="N3:P3"/>
    <mergeCell ref="Q3:R3"/>
    <mergeCell ref="A16:R16"/>
    <mergeCell ref="A17:R17"/>
    <mergeCell ref="A18:R18"/>
    <mergeCell ref="A19:R19"/>
    <mergeCell ref="A20:R20"/>
    <mergeCell ref="A21:R21"/>
    <mergeCell ref="A22:R22"/>
    <mergeCell ref="A24:R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1" width="8"/>
    <col collapsed="false" customWidth="true" hidden="false" outlineLevel="0" max="2" min="2" style="11" width="16"/>
    <col collapsed="false" customWidth="true" hidden="false" outlineLevel="0" max="4" min="3" style="11" width="9"/>
    <col collapsed="false" customWidth="true" hidden="false" outlineLevel="0" max="6" min="5" style="11" width="12"/>
    <col collapsed="false" customWidth="true" hidden="false" outlineLevel="0" max="8" min="7" style="11" width="9"/>
    <col collapsed="false" customWidth="true" hidden="false" outlineLevel="0" max="11" min="9" style="11" width="8"/>
    <col collapsed="false" customWidth="true" hidden="false" outlineLevel="0" max="12" min="12" style="11" width="14"/>
  </cols>
  <sheetData>
    <row r="1" customFormat="false" ht="30" hidden="false" customHeight="true" outlineLevel="0" collapsed="false">
      <c r="A1" s="63" t="s">
        <v>130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customFormat="false" ht="18" hidden="false" customHeight="true" outlineLevel="0" collapsed="false">
      <c r="A2" s="64" t="s">
        <v>131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customFormat="false" ht="27.75" hidden="false" customHeight="true" outlineLevel="0" collapsed="false">
      <c r="A3" s="65" t="s">
        <v>2</v>
      </c>
      <c r="B3" s="65" t="s">
        <v>132</v>
      </c>
      <c r="C3" s="65" t="s">
        <v>116</v>
      </c>
      <c r="D3" s="65" t="s">
        <v>10</v>
      </c>
      <c r="E3" s="65" t="s">
        <v>133</v>
      </c>
      <c r="F3" s="65" t="s">
        <v>134</v>
      </c>
      <c r="G3" s="65" t="s">
        <v>70</v>
      </c>
      <c r="H3" s="65" t="s">
        <v>71</v>
      </c>
      <c r="I3" s="65" t="s">
        <v>21</v>
      </c>
      <c r="J3" s="65" t="s">
        <v>16</v>
      </c>
      <c r="K3" s="65" t="s">
        <v>73</v>
      </c>
      <c r="L3" s="65" t="s">
        <v>135</v>
      </c>
    </row>
    <row r="4" customFormat="false" ht="19.5" hidden="false" customHeight="true" outlineLevel="0" collapsed="false">
      <c r="A4" s="66" t="s">
        <v>20</v>
      </c>
      <c r="B4" s="67" t="s">
        <v>136</v>
      </c>
      <c r="C4" s="17" t="n">
        <v>951.66</v>
      </c>
      <c r="D4" s="68" t="n">
        <v>1200</v>
      </c>
      <c r="E4" s="17" t="n">
        <v>1119.95</v>
      </c>
      <c r="F4" s="17" t="n">
        <v>1195</v>
      </c>
      <c r="G4" s="17" t="n">
        <v>1400</v>
      </c>
      <c r="H4" s="17" t="n">
        <v>714</v>
      </c>
      <c r="I4" s="69" t="n">
        <v>21</v>
      </c>
      <c r="J4" s="69" t="n">
        <v>7</v>
      </c>
      <c r="K4" s="69" t="n">
        <v>0</v>
      </c>
      <c r="L4" s="70" t="s">
        <v>137</v>
      </c>
    </row>
    <row r="5" customFormat="false" ht="19.5" hidden="false" customHeight="true" outlineLevel="0" collapsed="false">
      <c r="A5" s="66" t="s">
        <v>47</v>
      </c>
      <c r="B5" s="71" t="s">
        <v>138</v>
      </c>
      <c r="C5" s="27" t="n">
        <v>164.9</v>
      </c>
      <c r="D5" s="72" t="n">
        <v>185</v>
      </c>
      <c r="E5" s="27" t="n">
        <v>183.3</v>
      </c>
      <c r="F5" s="27" t="n">
        <v>183</v>
      </c>
      <c r="G5" s="27" t="n">
        <v>200</v>
      </c>
      <c r="H5" s="27" t="n">
        <v>164</v>
      </c>
      <c r="I5" s="73" t="n">
        <v>39</v>
      </c>
      <c r="J5" s="73" t="n">
        <v>13</v>
      </c>
      <c r="K5" s="73" t="n">
        <v>0</v>
      </c>
      <c r="L5" s="70" t="s">
        <v>139</v>
      </c>
    </row>
    <row r="6" customFormat="false" ht="19.5" hidden="false" customHeight="true" outlineLevel="0" collapsed="false">
      <c r="A6" s="66" t="s">
        <v>50</v>
      </c>
      <c r="B6" s="67" t="s">
        <v>140</v>
      </c>
      <c r="C6" s="17" t="n">
        <v>132.05</v>
      </c>
      <c r="D6" s="68" t="n">
        <v>185</v>
      </c>
      <c r="E6" s="17" t="n">
        <v>194.5</v>
      </c>
      <c r="F6" s="17" t="n">
        <v>201.5</v>
      </c>
      <c r="G6" s="17" t="n">
        <v>211</v>
      </c>
      <c r="H6" s="17" t="n">
        <v>162</v>
      </c>
      <c r="I6" s="69" t="n">
        <v>17</v>
      </c>
      <c r="J6" s="69" t="n">
        <v>7</v>
      </c>
      <c r="K6" s="74" t="n">
        <v>2</v>
      </c>
      <c r="L6" s="75" t="s">
        <v>141</v>
      </c>
    </row>
    <row r="7" customFormat="false" ht="19.5" hidden="false" customHeight="true" outlineLevel="0" collapsed="false">
      <c r="A7" s="66" t="s">
        <v>52</v>
      </c>
      <c r="B7" s="71" t="s">
        <v>142</v>
      </c>
      <c r="C7" s="27" t="n">
        <v>262.66</v>
      </c>
      <c r="D7" s="72" t="n">
        <v>385</v>
      </c>
      <c r="E7" s="27" t="n">
        <v>391.43</v>
      </c>
      <c r="F7" s="27" t="n">
        <v>392</v>
      </c>
      <c r="G7" s="27" t="n">
        <v>460</v>
      </c>
      <c r="H7" s="27" t="n">
        <v>310</v>
      </c>
      <c r="I7" s="73" t="n">
        <v>15</v>
      </c>
      <c r="J7" s="73" t="n">
        <v>5</v>
      </c>
      <c r="K7" s="73" t="n">
        <v>0</v>
      </c>
      <c r="L7" s="70" t="s">
        <v>143</v>
      </c>
    </row>
    <row r="8" customFormat="false" ht="19.5" hidden="false" customHeight="true" outlineLevel="0" collapsed="false">
      <c r="A8" s="66" t="s">
        <v>41</v>
      </c>
      <c r="B8" s="67" t="s">
        <v>144</v>
      </c>
      <c r="C8" s="17" t="n">
        <v>113.94</v>
      </c>
      <c r="D8" s="68" t="n">
        <v>140</v>
      </c>
      <c r="E8" s="17" t="n">
        <v>140.25</v>
      </c>
      <c r="F8" s="17" t="n">
        <v>139</v>
      </c>
      <c r="G8" s="17" t="n">
        <v>175</v>
      </c>
      <c r="H8" s="17" t="n">
        <v>108</v>
      </c>
      <c r="I8" s="69" t="n">
        <v>13</v>
      </c>
      <c r="J8" s="69" t="n">
        <v>4</v>
      </c>
      <c r="K8" s="74" t="n">
        <v>2</v>
      </c>
      <c r="L8" s="75" t="s">
        <v>145</v>
      </c>
    </row>
    <row r="9" customFormat="false" ht="19.5" hidden="false" customHeight="true" outlineLevel="0" collapsed="false">
      <c r="A9" s="66" t="s">
        <v>94</v>
      </c>
      <c r="B9" s="71" t="s">
        <v>146</v>
      </c>
      <c r="C9" s="27" t="n">
        <v>413.9</v>
      </c>
      <c r="D9" s="72" t="n">
        <v>560</v>
      </c>
      <c r="E9" s="27" t="n">
        <v>489.8</v>
      </c>
      <c r="F9" s="27" t="n">
        <v>495</v>
      </c>
      <c r="G9" s="27" t="n">
        <v>582</v>
      </c>
      <c r="H9" s="27" t="n">
        <v>400</v>
      </c>
      <c r="I9" s="73" t="n">
        <v>51</v>
      </c>
      <c r="J9" s="73" t="n">
        <v>7</v>
      </c>
      <c r="K9" s="73" t="n">
        <v>0</v>
      </c>
      <c r="L9" s="70" t="s">
        <v>147</v>
      </c>
    </row>
    <row r="10" customFormat="false" ht="19.5" hidden="false" customHeight="true" outlineLevel="0" collapsed="false">
      <c r="A10" s="66" t="s">
        <v>97</v>
      </c>
      <c r="B10" s="67" t="s">
        <v>148</v>
      </c>
      <c r="C10" s="17" t="n">
        <v>308.83</v>
      </c>
      <c r="D10" s="68" t="n">
        <v>370</v>
      </c>
      <c r="E10" s="17" t="n">
        <v>231.52</v>
      </c>
      <c r="F10" s="17" t="n">
        <v>235</v>
      </c>
      <c r="G10" s="17" t="n">
        <v>321</v>
      </c>
      <c r="H10" s="17" t="n">
        <v>155</v>
      </c>
      <c r="I10" s="69" t="n">
        <v>60</v>
      </c>
      <c r="J10" s="69" t="n">
        <v>12</v>
      </c>
      <c r="K10" s="74" t="n">
        <v>1</v>
      </c>
      <c r="L10" s="70" t="s">
        <v>149</v>
      </c>
    </row>
    <row r="11" customFormat="false" ht="19.5" hidden="false" customHeight="true" outlineLevel="0" collapsed="false">
      <c r="A11" s="66" t="s">
        <v>33</v>
      </c>
      <c r="B11" s="71" t="s">
        <v>150</v>
      </c>
      <c r="C11" s="27" t="n">
        <v>318.31</v>
      </c>
      <c r="D11" s="72" t="n">
        <v>370</v>
      </c>
      <c r="E11" s="27" t="n">
        <v>371.67</v>
      </c>
      <c r="F11" s="27" t="n">
        <v>354</v>
      </c>
      <c r="G11" s="27" t="n">
        <v>500</v>
      </c>
      <c r="H11" s="27" t="n">
        <v>277</v>
      </c>
      <c r="I11" s="73" t="n">
        <v>18</v>
      </c>
      <c r="J11" s="73" t="n">
        <v>1</v>
      </c>
      <c r="K11" s="73" t="n">
        <v>0</v>
      </c>
      <c r="L11" s="70" t="s">
        <v>151</v>
      </c>
    </row>
    <row r="12" customFormat="false" ht="19.5" hidden="false" customHeight="true" outlineLevel="0" collapsed="false">
      <c r="A12" s="66" t="s">
        <v>31</v>
      </c>
      <c r="B12" s="67" t="s">
        <v>152</v>
      </c>
      <c r="C12" s="17" t="n">
        <v>283.32</v>
      </c>
      <c r="D12" s="68" t="n">
        <v>330</v>
      </c>
      <c r="E12" s="17" t="n">
        <v>217.67</v>
      </c>
      <c r="F12" s="17" t="n">
        <v>225</v>
      </c>
      <c r="G12" s="17" t="n">
        <v>324</v>
      </c>
      <c r="H12" s="17" t="n">
        <v>68</v>
      </c>
      <c r="I12" s="69" t="n">
        <v>16</v>
      </c>
      <c r="J12" s="69" t="n">
        <v>12</v>
      </c>
      <c r="K12" s="74" t="n">
        <v>3</v>
      </c>
      <c r="L12" s="75" t="s">
        <v>153</v>
      </c>
    </row>
    <row r="13" customFormat="false" ht="19.5" hidden="false" customHeight="true" outlineLevel="0" collapsed="false">
      <c r="A13" s="66" t="s">
        <v>57</v>
      </c>
      <c r="B13" s="71" t="s">
        <v>154</v>
      </c>
      <c r="C13" s="27" t="n">
        <v>151.03</v>
      </c>
      <c r="D13" s="72" t="n">
        <v>230</v>
      </c>
      <c r="E13" s="27" t="n">
        <v>227.78</v>
      </c>
      <c r="F13" s="27" t="n">
        <v>232</v>
      </c>
      <c r="G13" s="27" t="n">
        <v>293</v>
      </c>
      <c r="H13" s="27" t="n">
        <v>190</v>
      </c>
      <c r="I13" s="73" t="n">
        <v>20</v>
      </c>
      <c r="J13" s="73" t="n">
        <v>2</v>
      </c>
      <c r="K13" s="73" t="n">
        <v>0</v>
      </c>
      <c r="L13" s="70" t="s">
        <v>155</v>
      </c>
    </row>
    <row r="15" customFormat="false" ht="15" hidden="false" customHeight="true" outlineLevel="0" collapsed="false">
      <c r="A15" s="45" t="s">
        <v>156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</row>
  </sheetData>
  <mergeCells count="3">
    <mergeCell ref="A1:L1"/>
    <mergeCell ref="A2:L2"/>
    <mergeCell ref="A15:L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2026-06-04T15:36:09Z</dcterms:created>
  <dc:creator>openpyxl</dc:creator>
  <dc:description/>
  <dc:language>en-US</dc:language>
  <cp:lastModifiedBy/>
  <dcterms:modified xsi:type="dcterms:W3CDTF">2026-07-07T15:06:02Z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